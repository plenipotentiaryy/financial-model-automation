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ssumptions" sheetId="2" state="visible" r:id="rId2"/>
    <sheet name="Calculations" sheetId="3" state="visible" r:id="rId3"/>
    <sheet name="Inputs" sheetId="4" state="visible" r:id="rId4"/>
    <sheet name="Checks" sheetId="5" state="visible" r:id="rId5"/>
    <sheet name="Source_Map" sheetId="6" state="visible" r:id="rId6"/>
    <sheet name="Data_Dictionary" sheetId="7" state="visible" r:id="rId7"/>
    <sheet name="Filing_Sources" sheetId="8" state="visible" r:id="rId8"/>
    <sheet name="Derivations" sheetId="9" state="visible" r:id="rId9"/>
  </sheets>
  <definedNames>
    <definedName name="_xlnm._FilterDatabase" localSheetId="4" hidden="1">'Checks'!$A$4:$F$1004</definedName>
    <definedName name="_xlnm._FilterDatabase" localSheetId="5" hidden="1">'Source_Map'!$A$4:$Q$10004</definedName>
    <definedName name="_xlnm._FilterDatabase" localSheetId="6" hidden="1">'Data_Dictionary'!$A$4:$G$32</definedName>
    <definedName name="_xlnm._FilterDatabase" localSheetId="7" hidden="1">'Filing_Sources'!$A$3:$I$93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(0.0%);&quot;—&quot;"/>
    <numFmt numFmtId="165" formatCode="#,##0.0,,;(#,##0.0,,);&quot;—&quot;"/>
    <numFmt numFmtId="166" formatCode="0.0&quot;x&quot;;(0.0&quot;x&quot;);&quot;—&quot;"/>
    <numFmt numFmtId="167" formatCode="#,##0.0;(#,##0.0);&quot;—&quot;"/>
  </numFmts>
  <fonts count="10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color rgb="00202B3C"/>
      <sz val="10"/>
    </font>
    <font>
      <name val="Arial"/>
      <b val="1"/>
      <color rgb="001E3554"/>
      <sz val="14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253E5E"/>
      <sz val="14"/>
    </font>
    <font>
      <name val="Arial"/>
      <color rgb="001C5BBF"/>
      <sz val="10"/>
      <u val="single"/>
    </font>
  </fonts>
  <fills count="4">
    <fill>
      <patternFill/>
    </fill>
    <fill>
      <patternFill patternType="gray125"/>
    </fill>
    <fill>
      <patternFill patternType="solid">
        <fgColor rgb="00EFF4FC"/>
      </patternFill>
    </fill>
    <fill>
      <patternFill patternType="solid">
        <fgColor rgb="00253E5E"/>
      </patternFill>
    </fill>
  </fills>
  <borders count="2">
    <border>
      <left/>
      <right/>
      <top/>
      <bottom/>
      <diagonal/>
    </border>
    <border>
      <bottom style="hair">
        <color rgb="00DDE4E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0D2"/>
        </patternFill>
      </fill>
    </dxf>
    <dxf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microsoft.com/investor/reports/ar25/" TargetMode="External" Id="rId1" /></Relationships>
</file>

<file path=xl/worksheets/sheet1.xml><?xml version="1.0" encoding="utf-8"?>
<worksheet xmlns="http://schemas.openxmlformats.org/spreadsheetml/2006/main">
  <sheetPr>
    <tabColor rgb="00253E5E"/>
    <outlinePr summaryBelow="1" summaryRight="1"/>
    <pageSetUpPr fitToPage="1"/>
  </sheetPr>
  <dimension ref="A1:E4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8" customWidth="1" min="4" max="4"/>
    <col width="82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Financial KPI report — 28 metrics</t>
        </is>
      </c>
      <c r="B2" s="1" t="n"/>
      <c r="C2" s="1" t="n"/>
      <c r="D2" s="1" t="n"/>
      <c r="E2" s="1" t="n"/>
    </row>
    <row r="3">
      <c r="A3" s="1" t="inlineStr">
        <is>
          <t>Company</t>
        </is>
      </c>
      <c r="B3" s="1" t="str">
        <f>IF(Inputs!B2&lt;&gt;"",Inputs!B2,"")</f>
        <v>Microsoft Corporation</v>
      </c>
      <c r="C3" s="1" t="n"/>
      <c r="D3" s="1" t="n"/>
      <c r="E3" s="1" t="n"/>
    </row>
    <row r="4">
      <c r="A4" s="1" t="inlineStr">
        <is>
          <t>Fiscal year / currency</t>
        </is>
      </c>
      <c r="B4" s="1">
        <f>IF(ISNUMBER(Inputs!C3),Inputs!C3,"")</f>
        <v>2025</v>
      </c>
      <c r="C4" s="1" t="str">
        <f>IF(Inputs!C4&lt;&gt;"",Inputs!C4,"")</f>
        <v>USD</v>
      </c>
      <c r="D4" s="1" t="n"/>
      <c r="E4" s="1" t="n"/>
    </row>
    <row r="5">
      <c r="A5" s="1" t="n"/>
      <c r="B5" s="1" t="n"/>
      <c r="C5" s="1" t="n"/>
      <c r="D5" s="1" t="n"/>
      <c r="E5" s="1" t="n"/>
    </row>
    <row r="6" ht="30" customHeight="1">
      <c r="A6" s="3" t="inlineStr">
        <is>
          <t>Metric</t>
        </is>
      </c>
      <c r="B6" s="3" t="inlineStr">
        <is>
          <t>Result</t>
        </is>
      </c>
      <c r="C6" s="3" t="inlineStr">
        <is>
          <t>Basis / units</t>
        </is>
      </c>
      <c r="D6" s="3" t="inlineStr">
        <is>
          <t>Input status at build</t>
        </is>
      </c>
      <c r="E6" s="3" t="inlineStr">
        <is>
          <t>Details at build</t>
        </is>
      </c>
    </row>
    <row r="7" ht="78" customHeight="1">
      <c r="A7" s="4" t="inlineStr">
        <is>
          <t>Revenue growth YoY</t>
        </is>
      </c>
      <c r="B7" s="18">
        <f>IF(ISNUMBER(Calculations!B2),Calculations!B2,"")</f>
        <v>0.149321562324067</v>
      </c>
      <c r="C7" s="4" t="inlineStr">
        <is>
          <t>Annual / FY-end basis</t>
        </is>
      </c>
      <c r="D7" s="4" t="inlineStr">
        <is>
          <t>OK</t>
        </is>
      </c>
      <c r="E7" s="4" t="inlineStr">
        <is>
          <t xml:space="preserve">Reported consolidated growth; acquisition effects are included, not organic growth. </t>
        </is>
      </c>
    </row>
    <row r="8" ht="78" customHeight="1">
      <c r="A8" s="4" t="inlineStr">
        <is>
          <t>EBITDA margin</t>
        </is>
      </c>
      <c r="B8" s="18">
        <f>IF(ISNUMBER(Calculations!B3),Calculations!B3,"")</f>
        <v>0.555607615964561</v>
      </c>
      <c r="C8" s="4" t="inlineStr">
        <is>
          <t>Annual / FY-end basis</t>
        </is>
      </c>
      <c r="D8" s="4" t="inlineStr">
        <is>
          <t>OK</t>
        </is>
      </c>
      <c r="E8" s="4" t="inlineStr">
        <is>
          <t>Uses approximate reconstructed operating EBITDA (rounded Notes 6/9). Not reported EBITDA; see Derivations.</t>
        </is>
      </c>
    </row>
    <row r="9" ht="78" customHeight="1">
      <c r="A9" s="4" t="inlineStr">
        <is>
          <t>Net debt</t>
        </is>
      </c>
      <c r="B9" s="19">
        <f>IF(ISNUMBER(Calculations!B4),Calculations!B4,"")</f>
        <v>12909000000</v>
      </c>
      <c r="C9" s="4" t="str">
        <f>IF(Inputs!C4&lt;&gt;"",Inputs!C4&amp;", millions","")</f>
        <v>USD, millions</v>
      </c>
      <c r="D9" s="4" t="inlineStr">
        <is>
          <t>OK</t>
        </is>
      </c>
      <c r="E9" s="4" t="inlineStr">
        <is>
          <t xml:space="preserve">Borrowing debt less cash equivalents only; excludes $64.323bn short-term investments and $46.172bn finance-lease liabilities. </t>
        </is>
      </c>
    </row>
    <row r="10" ht="78" customHeight="1">
      <c r="A10" s="4" t="inlineStr">
        <is>
          <t>Net debt / EBITDA</t>
        </is>
      </c>
      <c r="B10" s="7">
        <f>IF(ISNUMBER(Calculations!B5),Calculations!B5,"")</f>
        <v>0.0824708678319534</v>
      </c>
      <c r="C10" s="4" t="inlineStr">
        <is>
          <t>Multiple</t>
        </is>
      </c>
      <c r="D10" s="4" t="inlineStr">
        <is>
          <t>OK</t>
        </is>
      </c>
      <c r="E10" s="4" t="inlineStr">
        <is>
          <t>Uses approximate reconstructed operating EBITDA (rounded Notes 6/9). Not reported EBITDA; see Derivations.</t>
        </is>
      </c>
    </row>
    <row r="11" ht="60" customHeight="1">
      <c r="A11" s="4" t="inlineStr">
        <is>
          <t>ARR</t>
        </is>
      </c>
      <c r="B11" s="19" t="str">
        <f>IF(ISNUMBER(Calculations!B6),Calculations!B6,"")</f>
        <v/>
      </c>
      <c r="C11" s="4" t="str">
        <f>IF(Inputs!C4&lt;&gt;"",Inputs!C4&amp;", millions","")</f>
        <v>USD, millions</v>
      </c>
      <c r="D11" s="4" t="inlineStr">
        <is>
          <t>MISSING_INPUTS</t>
        </is>
      </c>
      <c r="E11" s="4" t="inlineStr">
        <is>
          <t>Missing/unavailable inputs: monthly_recurring_revenue FY2025</t>
        </is>
      </c>
    </row>
    <row r="12" ht="60" customHeight="1">
      <c r="A12" s="4" t="inlineStr">
        <is>
          <t>WACC</t>
        </is>
      </c>
      <c r="B12" s="18" t="str">
        <f>IF(ISNUMBER(Calculations!B7),Calculations!B7,"")</f>
        <v/>
      </c>
      <c r="C12" s="4" t="inlineStr">
        <is>
          <t>Market weights / CAPM</t>
        </is>
      </c>
      <c r="D12" s="4" t="inlineStr">
        <is>
          <t>MISSING_INPUTS</t>
        </is>
      </c>
      <c r="E12" s="4" t="inlineStr">
        <is>
          <t>Missing/unavailable inputs: market_cap FY2025, pre_tax_cost_of_debt FY2025, risk_free_rate FY2025, equity_beta FY2025, equity_risk_premium FY2025, marginal_tax_rate FY2025</t>
        </is>
      </c>
    </row>
    <row r="13" ht="78" customHeight="1">
      <c r="A13" s="4" t="inlineStr">
        <is>
          <t>Gross margin</t>
        </is>
      </c>
      <c r="B13" s="18">
        <f>IF(ISNUMBER(Calculations!B8),Calculations!B8,"")</f>
        <v>0.688237423861652</v>
      </c>
      <c r="C13" s="4" t="inlineStr">
        <is>
          <t>Annual / FY-end basis</t>
        </is>
      </c>
      <c r="D13" s="4" t="inlineStr">
        <is>
          <t>OK</t>
        </is>
      </c>
      <c r="E13" s="4" t="inlineStr">
        <is>
          <t xml:space="preserve">Computed from compatible reported financial-statement inputs under the documented model convention. </t>
        </is>
      </c>
    </row>
    <row r="14" ht="78" customHeight="1">
      <c r="A14" s="4" t="inlineStr">
        <is>
          <t>EBIT margin</t>
        </is>
      </c>
      <c r="B14" s="18">
        <f>IF(ISNUMBER(Calculations!B9),Calculations!B9,"")</f>
        <v>0.456219562408599</v>
      </c>
      <c r="C14" s="4" t="inlineStr">
        <is>
          <t>Annual / FY-end basis</t>
        </is>
      </c>
      <c r="D14" s="4" t="inlineStr">
        <is>
          <t>OK</t>
        </is>
      </c>
      <c r="E14" s="4" t="inlineStr">
        <is>
          <t xml:space="preserve">Operating income is the selected operating-EBIT definition. </t>
        </is>
      </c>
    </row>
    <row r="15" ht="78" customHeight="1">
      <c r="A15" s="4" t="inlineStr">
        <is>
          <t>Net profit margin</t>
        </is>
      </c>
      <c r="B15" s="18">
        <f>IF(ISNUMBER(Calculations!B10),Calculations!B10,"")</f>
        <v>0.361460152489671</v>
      </c>
      <c r="C15" s="4" t="inlineStr">
        <is>
          <t>Annual / FY-end basis</t>
        </is>
      </c>
      <c r="D15" s="4" t="inlineStr">
        <is>
          <t>OK</t>
        </is>
      </c>
      <c r="E15" s="4" t="inlineStr">
        <is>
          <t xml:space="preserve">Computed from compatible reported financial-statement inputs under the documented model convention. </t>
        </is>
      </c>
    </row>
    <row r="16" ht="78" customHeight="1">
      <c r="A16" s="4" t="inlineStr">
        <is>
          <t>Free cash flow</t>
        </is>
      </c>
      <c r="B16" s="19">
        <f>IF(ISNUMBER(Calculations!B11),Calculations!B11,"")</f>
        <v>71611000000</v>
      </c>
      <c r="C16" s="4" t="str">
        <f>IF(Inputs!C4&lt;&gt;"",Inputs!C4&amp;", millions","")</f>
        <v>USD, millions</v>
      </c>
      <c r="D16" s="4" t="inlineStr">
        <is>
          <t>OK</t>
        </is>
      </c>
      <c r="E16" s="4" t="inlineStr">
        <is>
          <t xml:space="preserve">CFO less cash PP&amp;E additions. Noncash finance-lease additions and acquisitions are excluded. </t>
        </is>
      </c>
    </row>
    <row r="17" ht="78" customHeight="1">
      <c r="A17" s="4" t="inlineStr">
        <is>
          <t>FCF margin</t>
        </is>
      </c>
      <c r="B17" s="18">
        <f>IF(ISNUMBER(Calculations!B12),Calculations!B12,"")</f>
        <v>0.254188496542716</v>
      </c>
      <c r="C17" s="4" t="inlineStr">
        <is>
          <t>Annual / FY-end basis</t>
        </is>
      </c>
      <c r="D17" s="4" t="inlineStr">
        <is>
          <t>OK</t>
        </is>
      </c>
      <c r="E17" s="4" t="inlineStr">
        <is>
          <t xml:space="preserve">Uses cash-PP&amp;E FCF, not lease-adjusted FCFF/FCFE. </t>
        </is>
      </c>
    </row>
    <row r="18" ht="78" customHeight="1">
      <c r="A18" s="4" t="inlineStr">
        <is>
          <t>Current ratio</t>
        </is>
      </c>
      <c r="B18" s="7">
        <f>IF(ISNUMBER(Calculations!B13),Calculations!B13,"")</f>
        <v>1.35344644450424</v>
      </c>
      <c r="C18" s="4" t="inlineStr">
        <is>
          <t>Multiple</t>
        </is>
      </c>
      <c r="D18" s="4" t="inlineStr">
        <is>
          <t>OK</t>
        </is>
      </c>
      <c r="E18" s="4" t="inlineStr">
        <is>
          <t xml:space="preserve">Computed from compatible reported financial-statement inputs under the documented model convention. </t>
        </is>
      </c>
    </row>
    <row r="19" ht="78" customHeight="1">
      <c r="A19" s="4" t="inlineStr">
        <is>
          <t>Quick ratio</t>
        </is>
      </c>
      <c r="B19" s="7">
        <f>IF(ISNUMBER(Calculations!B14),Calculations!B14,"")</f>
        <v>1.34680423175516</v>
      </c>
      <c r="C19" s="4" t="inlineStr">
        <is>
          <t>Multiple</t>
        </is>
      </c>
      <c r="D19" s="4" t="inlineStr">
        <is>
          <t>OK</t>
        </is>
      </c>
      <c r="E19" s="4" t="inlineStr">
        <is>
          <t xml:space="preserve">Computed from compatible reported financial-statement inputs under the documented model convention. </t>
        </is>
      </c>
    </row>
    <row r="20" ht="78" customHeight="1">
      <c r="A20" s="4" t="inlineStr">
        <is>
          <t>Interest coverage</t>
        </is>
      </c>
      <c r="B20" s="7">
        <f>IF(ISNUMBER(Calculations!B15),Calculations!B15,"")</f>
        <v>53.8901467505241</v>
      </c>
      <c r="C20" s="4" t="inlineStr">
        <is>
          <t>Multiple</t>
        </is>
      </c>
      <c r="D20" s="4" t="inlineStr">
        <is>
          <t>OK</t>
        </is>
      </c>
      <c r="E20" s="4" t="inlineStr">
        <is>
          <t xml:space="preserve">Operating income / reported interest expense; excludes capitalized interest from the denominator. </t>
        </is>
      </c>
    </row>
    <row r="21" ht="78" customHeight="1">
      <c r="A21" s="4" t="inlineStr">
        <is>
          <t>Return on assets</t>
        </is>
      </c>
      <c r="B21" s="18">
        <f>IF(ISNUMBER(Calculations!B16),Calculations!B16,"")</f>
        <v>0.180047844436626</v>
      </c>
      <c r="C21" s="4" t="inlineStr">
        <is>
          <t>Annual / FY-end basis</t>
        </is>
      </c>
      <c r="D21" s="4" t="inlineStr">
        <is>
          <t>OK</t>
        </is>
      </c>
      <c r="E21" s="4" t="inlineStr">
        <is>
          <t xml:space="preserve">Two-point average total assets at June 30, 2024 and 2025. </t>
        </is>
      </c>
    </row>
    <row r="22" ht="78" customHeight="1">
      <c r="A22" s="4" t="inlineStr">
        <is>
          <t>Return on equity</t>
        </is>
      </c>
      <c r="B22" s="18">
        <f>IF(ISNUMBER(Calculations!B17),Calculations!B17,"")</f>
        <v>0.332808241115374</v>
      </c>
      <c r="C22" s="4" t="inlineStr">
        <is>
          <t>Annual / FY-end basis</t>
        </is>
      </c>
      <c r="D22" s="4" t="inlineStr">
        <is>
          <t>OK</t>
        </is>
      </c>
      <c r="E22" s="4" t="inlineStr">
        <is>
          <t xml:space="preserve">Two-point average stockholders' equity at June 30, 2024 and 2025. </t>
        </is>
      </c>
    </row>
    <row r="23" ht="60" customHeight="1">
      <c r="A23" s="4" t="inlineStr">
        <is>
          <t>Enterprise value (simplified)</t>
        </is>
      </c>
      <c r="B23" s="19" t="str">
        <f>IF(ISNUMBER(Calculations!B18),Calculations!B18,"")</f>
        <v/>
      </c>
      <c r="C23" s="4" t="str">
        <f>IF(Inputs!C4&lt;&gt;"",Inputs!C4&amp;", millions","")</f>
        <v>USD, millions</v>
      </c>
      <c r="D23" s="4" t="inlineStr">
        <is>
          <t>MISSING_INPUTS</t>
        </is>
      </c>
      <c r="E23" s="4" t="inlineStr">
        <is>
          <t>Missing/unavailable inputs: market_cap FY2025</t>
        </is>
      </c>
    </row>
    <row r="24" ht="60" customHeight="1">
      <c r="A24" s="4" t="inlineStr">
        <is>
          <t>EV / Revenue</t>
        </is>
      </c>
      <c r="B24" s="7" t="str">
        <f>IF(ISNUMBER(Calculations!B19),Calculations!B19,"")</f>
        <v/>
      </c>
      <c r="C24" s="4" t="inlineStr">
        <is>
          <t>Multiple</t>
        </is>
      </c>
      <c r="D24" s="4" t="inlineStr">
        <is>
          <t>MISSING_INPUTS</t>
        </is>
      </c>
      <c r="E24" s="4" t="inlineStr">
        <is>
          <t>Missing/unavailable inputs: market_cap FY2025</t>
        </is>
      </c>
    </row>
    <row r="25" ht="60" customHeight="1">
      <c r="A25" s="4" t="inlineStr">
        <is>
          <t>EV / EBITDA</t>
        </is>
      </c>
      <c r="B25" s="7" t="str">
        <f>IF(ISNUMBER(Calculations!B20),Calculations!B20,"")</f>
        <v/>
      </c>
      <c r="C25" s="4" t="inlineStr">
        <is>
          <t>Multiple</t>
        </is>
      </c>
      <c r="D25" s="4" t="inlineStr">
        <is>
          <t>MISSING_INPUTS</t>
        </is>
      </c>
      <c r="E25" s="4" t="inlineStr">
        <is>
          <t>Missing/unavailable inputs: market_cap FY2025 Approximate reconstructed operating EBITDA: operating EBIT + separately disclosed depreciation + intangible amortization; rounded source components. Not reported EBITDA; no extra ROU add-back.</t>
        </is>
      </c>
    </row>
    <row r="26" ht="60" customHeight="1">
      <c r="A26" s="4" t="inlineStr">
        <is>
          <t>P/E</t>
        </is>
      </c>
      <c r="B26" s="7" t="str">
        <f>IF(ISNUMBER(Calculations!B21),Calculations!B21,"")</f>
        <v/>
      </c>
      <c r="C26" s="4" t="inlineStr">
        <is>
          <t>Multiple</t>
        </is>
      </c>
      <c r="D26" s="4" t="inlineStr">
        <is>
          <t>MISSING_INPUTS</t>
        </is>
      </c>
      <c r="E26" s="4" t="inlineStr">
        <is>
          <t>Missing/unavailable inputs: market_cap FY2025</t>
        </is>
      </c>
    </row>
    <row r="27" ht="78" customHeight="1">
      <c r="A27" s="4" t="inlineStr">
        <is>
          <t>Revenue CAGR</t>
        </is>
      </c>
      <c r="B27" s="18">
        <f>IF(ISNUMBER(Calculations!B22),Calculations!B22,"")</f>
        <v>0.153004689733865</v>
      </c>
      <c r="C27" s="4" t="inlineStr">
        <is>
          <t>Annual / FY-end basis</t>
        </is>
      </c>
      <c r="D27" s="4" t="inlineStr">
        <is>
          <t>OK</t>
        </is>
      </c>
      <c r="E27" s="4" t="inlineStr">
        <is>
          <t xml:space="preserve">FY2023–FY2025, two elapsed years; acquisition effects included. </t>
        </is>
      </c>
    </row>
    <row r="28" ht="78" customHeight="1">
      <c r="A28" s="4" t="inlineStr">
        <is>
          <t>EBITDA CAGR</t>
        </is>
      </c>
      <c r="B28" s="18">
        <f>IF(ISNUMBER(Calculations!B23),Calculations!B23,"")</f>
        <v>0.238645340160718</v>
      </c>
      <c r="C28" s="4" t="inlineStr">
        <is>
          <t>Annual / FY-end basis</t>
        </is>
      </c>
      <c r="D28" s="4" t="inlineStr">
        <is>
          <t>OK</t>
        </is>
      </c>
      <c r="E28" s="4" t="inlineStr">
        <is>
          <t>Uses approximate reconstructed operating EBITDA (rounded Notes 6/9). Not reported EBITDA; see Derivations.</t>
        </is>
      </c>
    </row>
    <row r="29" ht="78" customHeight="1">
      <c r="A29" s="4" t="inlineStr">
        <is>
          <t>Net leverage change YoY</t>
        </is>
      </c>
      <c r="B29" s="7">
        <f>IF(ISNUMBER(Calculations!B24),Calculations!B24,"")</f>
        <v>-0.174920987413618</v>
      </c>
      <c r="C29" s="4" t="inlineStr">
        <is>
          <t>Change in turns</t>
        </is>
      </c>
      <c r="D29" s="4" t="inlineStr">
        <is>
          <t>OK</t>
        </is>
      </c>
      <c r="E29" s="4" t="inlineStr">
        <is>
          <t>Uses approximate reconstructed operating EBITDA (rounded Notes 6/9). Not reported EBITDA; see Derivations.</t>
        </is>
      </c>
    </row>
    <row r="30" ht="78" customHeight="1">
      <c r="A30" s="4" t="inlineStr">
        <is>
          <t>Cash conversion (CFO / EBITDA)</t>
        </is>
      </c>
      <c r="B30" s="18">
        <f>IF(ISNUMBER(Calculations!B25),Calculations!B25,"")</f>
        <v>0.869889093325156</v>
      </c>
      <c r="C30" s="4" t="inlineStr">
        <is>
          <t>Annual / FY-end basis</t>
        </is>
      </c>
      <c r="D30" s="4" t="inlineStr">
        <is>
          <t>OK</t>
        </is>
      </c>
      <c r="E30" s="4" t="inlineStr">
        <is>
          <t>Uses approximate reconstructed operating EBITDA (rounded Notes 6/9). Not reported EBITDA; see Derivations.</t>
        </is>
      </c>
    </row>
    <row r="31" ht="78" customHeight="1">
      <c r="A31" s="4" t="inlineStr">
        <is>
          <t>Days sales outstanding</t>
        </is>
      </c>
      <c r="B31" s="8">
        <f>IF(ISNUMBER(Calculations!B26),Calculations!B26,"")</f>
        <v>82.1594628075705</v>
      </c>
      <c r="C31" s="4" t="inlineStr">
        <is>
          <t>365-day convention</t>
        </is>
      </c>
      <c r="D31" s="4" t="inlineStr">
        <is>
          <t>OK</t>
        </is>
      </c>
      <c r="E31" s="4" t="inlineStr">
        <is>
          <t xml:space="preserve">Proxy: average current net receivables / total revenue x 365; credit sales unavailable. </t>
        </is>
      </c>
    </row>
    <row r="32" ht="78" customHeight="1">
      <c r="A32" s="4" t="inlineStr">
        <is>
          <t>Days inventory outstanding</t>
        </is>
      </c>
      <c r="B32" s="8">
        <f>IF(ISNUMBER(Calculations!B27),Calculations!B27,"")</f>
        <v>4.53803326843597</v>
      </c>
      <c r="C32" s="4" t="inlineStr">
        <is>
          <t>365-day convention</t>
        </is>
      </c>
      <c r="D32" s="4" t="inlineStr">
        <is>
          <t>OK</t>
        </is>
      </c>
      <c r="E32" s="4" t="inlineStr">
        <is>
          <t xml:space="preserve">Proxy: average inventory / total cost of revenue x 365; service-heavy denominator. </t>
        </is>
      </c>
    </row>
    <row r="33" ht="78" customHeight="1">
      <c r="A33" s="4" t="inlineStr">
        <is>
          <t>Days payable outstanding</t>
        </is>
      </c>
      <c r="B33" s="8">
        <f>IF(ISNUMBER(Calculations!B28),Calculations!B28,"")</f>
        <v>103.31090389498</v>
      </c>
      <c r="C33" s="4" t="inlineStr">
        <is>
          <t>365-day convention</t>
        </is>
      </c>
      <c r="D33" s="4" t="inlineStr">
        <is>
          <t>OK</t>
        </is>
      </c>
      <c r="E33" s="4" t="inlineStr">
        <is>
          <t xml:space="preserve">Coarse proxy: average total AP / cost of revenue x 365. AP includes capex; credit purchases unavailable. </t>
        </is>
      </c>
    </row>
    <row r="34" ht="78" customHeight="1">
      <c r="A34" s="4" t="inlineStr">
        <is>
          <t>Cash conversion cycle (CCC)</t>
        </is>
      </c>
      <c r="B34" s="8">
        <f>IF(ISNUMBER(Calculations!B29),Calculations!B29,"")</f>
        <v>-16.6134078189736</v>
      </c>
      <c r="C34" s="4" t="inlineStr">
        <is>
          <t>365-day convention</t>
        </is>
      </c>
      <c r="D34" s="4" t="inlineStr">
        <is>
          <t>OK</t>
        </is>
      </c>
      <c r="E34" s="4" t="inlineStr">
        <is>
          <t xml:space="preserve">Arithmetic CCC under model proxies. Capex AP and service revenue limit economic comparability; negative does not prove superior cash management. </t>
        </is>
      </c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inlineStr">
        <is>
          <t>Calculation state</t>
        </is>
      </c>
      <c r="B37" s="1" t="n"/>
      <c r="C37" s="1" t="n"/>
      <c r="D37" s="1" t="n"/>
      <c r="E37" s="1" t="n"/>
    </row>
    <row r="38">
      <c r="A38" s="1" t="n"/>
      <c r="B38" s="1" t="inlineStr">
        <is>
          <t>RECALCULATED</t>
        </is>
      </c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inlineStr">
        <is>
          <t>Statuses describe imported data at build time. Rerun after editing inputs.</t>
        </is>
      </c>
      <c r="B40" s="1" t="n"/>
      <c r="C40" s="1" t="n"/>
      <c r="D40" s="1" t="n"/>
      <c r="E40" s="1" t="n"/>
    </row>
    <row r="41">
      <c r="A41" s="1" t="inlineStr">
        <is>
          <t>CAGR: first to latest FY. ROA/ROE: average balances. Cash conversion: CFO / EBITDA.</t>
        </is>
      </c>
      <c r="B41" s="1" t="n"/>
      <c r="C41" s="1" t="n"/>
      <c r="D41" s="1" t="n"/>
      <c r="E41" s="1" t="n"/>
    </row>
    <row r="42">
      <c r="A42" s="1" t="inlineStr">
        <is>
          <t>CCC: DSO + DIO - DPO; revenue and COGS are documented credit-sales/purchases proxies.</t>
        </is>
      </c>
      <c r="B42" s="1" t="n"/>
      <c r="C42" s="1" t="n"/>
      <c r="D42" s="1" t="n"/>
      <c r="E42" s="1" t="n"/>
    </row>
    <row r="44">
      <c r="A44" t="inlineStr">
        <is>
          <t>Microsoft FY2025 | ebitda | 22/28 available | Historical June 30, 2025 inputs</t>
        </is>
      </c>
    </row>
    <row r="45">
      <c r="A45" t="inlineStr">
        <is>
          <t>Approximate reconstructed operating EBITDA; rounded Notes 6/9 components. See Derivations.</t>
        </is>
      </c>
    </row>
    <row r="46">
      <c r="A46" t="inlineStr">
        <is>
          <t>Borrowing debt excludes leases; cash excludes short-term investments; CCC uses coarse proxies.</t>
        </is>
      </c>
    </row>
  </sheetData>
  <conditionalFormatting sqref="D7:D34">
    <cfRule type="expression" priority="1" dxfId="0">
      <formula>D7&lt;&gt;"OK"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7391B2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</row>
    <row r="2">
      <c r="A2" s="2" t="inlineStr">
        <is>
          <t>Explicit cost-of-capital assumptions</t>
        </is>
      </c>
      <c r="B2" s="1" t="n"/>
    </row>
    <row r="3">
      <c r="A3" s="1" t="n"/>
      <c r="B3" s="1" t="n"/>
    </row>
    <row r="4" ht="30" customHeight="1">
      <c r="A4" s="3" t="inlineStr">
        <is>
          <t>Assumption</t>
        </is>
      </c>
      <c r="B4" s="3" t="inlineStr">
        <is>
          <t>Explicit FY-end value</t>
        </is>
      </c>
    </row>
    <row r="5">
      <c r="A5" s="1" t="inlineStr">
        <is>
          <t>Market value of debt (millions)</t>
        </is>
      </c>
      <c r="B5" s="20" t="n">
        <v>40400000000</v>
      </c>
    </row>
    <row r="6">
      <c r="A6" s="1" t="inlineStr">
        <is>
          <t>Pre tax cost of debt</t>
        </is>
      </c>
      <c r="B6" s="21" t="n"/>
    </row>
    <row r="7">
      <c r="A7" s="1" t="inlineStr">
        <is>
          <t>Risk free rate</t>
        </is>
      </c>
      <c r="B7" s="21" t="n"/>
    </row>
    <row r="8">
      <c r="A8" s="1" t="inlineStr">
        <is>
          <t>Equity beta</t>
        </is>
      </c>
      <c r="B8" s="11" t="n"/>
    </row>
    <row r="9">
      <c r="A9" s="1" t="inlineStr">
        <is>
          <t>Equity risk premium</t>
        </is>
      </c>
      <c r="B9" s="21" t="n"/>
    </row>
    <row r="10">
      <c r="A10" s="1" t="inlineStr">
        <is>
          <t>Marginal tax rate</t>
        </is>
      </c>
      <c r="B10" s="21" t="n"/>
    </row>
    <row r="11">
      <c r="A11" s="1" t="n"/>
      <c r="B11" s="1" t="n"/>
    </row>
    <row r="12">
      <c r="A12" s="1" t="inlineStr">
        <is>
          <t>Rates are fractions (0.04 = 4%). No assumptions are estimated.</t>
        </is>
      </c>
      <c r="B12" s="1" t="n"/>
    </row>
    <row r="13">
      <c r="A13" s="1" t="inlineStr">
        <is>
          <t>Market debt is explicit; reported/book debt is not substituted.</t>
        </is>
      </c>
      <c r="B13" s="1" t="n"/>
    </row>
    <row r="14">
      <c r="A14" s="1" t="inlineStr">
        <is>
          <t>WACC: two capital components, CAPM cost of equity.</t>
        </is>
      </c>
      <c r="B1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Template-owned formulas. Money displayed in millions; days use a 365-day convention.</t>
        </is>
      </c>
      <c r="B1" s="1" t="n"/>
    </row>
    <row r="2">
      <c r="A2" s="1" t="inlineStr">
        <is>
          <t>Revenue growth YoY</t>
        </is>
      </c>
      <c r="B2" s="22">
        <f>IF(AND(ISNUMBER(Inputs!B7),ISNUMBER(Inputs!C7),Inputs!B7&lt;&gt;0),Inputs!C7/Inputs!B7-1,"")</f>
        <v>0.149321562324067</v>
      </c>
    </row>
    <row r="3">
      <c r="A3" s="1" t="inlineStr">
        <is>
          <t>EBITDA margin</t>
        </is>
      </c>
      <c r="B3" s="22">
        <f>IF(AND(ISNUMBER(Inputs!C8),ISNUMBER(Inputs!C7),Inputs!C7&lt;&gt;0),Inputs!C8/Inputs!C7,"")</f>
        <v>0.555607615964561</v>
      </c>
    </row>
    <row r="4">
      <c r="A4" s="1" t="inlineStr">
        <is>
          <t>Net debt</t>
        </is>
      </c>
      <c r="B4" s="23">
        <f>IF(AND(ISNUMBER(Inputs!C9),ISNUMBER(Inputs!C10)),Inputs!C9-Inputs!C10,"")</f>
        <v>12909000000</v>
      </c>
    </row>
    <row r="5">
      <c r="A5" s="1" t="inlineStr">
        <is>
          <t>Net debt / EBITDA</t>
        </is>
      </c>
      <c r="B5" s="14">
        <f>IF(AND(ISNUMBER(Inputs!C9),ISNUMBER(Inputs!C10),ISNUMBER(Inputs!C8),Inputs!C8&gt;0,ISNUMBER(Calculations!B4)),B4/Inputs!C8,"")</f>
        <v>0.0824708678319534</v>
      </c>
    </row>
    <row r="6">
      <c r="A6" s="1" t="inlineStr">
        <is>
          <t>ARR</t>
        </is>
      </c>
      <c r="B6" s="23" t="str">
        <f>IF(AND(ISNUMBER(Inputs!C30),Inputs!C30&gt;=0),Inputs!C30*12,"")</f>
        <v/>
      </c>
    </row>
    <row r="7">
      <c r="A7" s="1" t="inlineStr">
        <is>
          <t>WACC</t>
        </is>
      </c>
      <c r="B7" s="22" t="str">
        <f>IF(AND(ISNUMBER(Inputs!C27),ISNUMBER(Assumptions!B5),ISNUMBER(Assumptions!B6),ISNUMBER(Assumptions!B7),ISNUMBER(Assumptions!B8),ISNUMBER(Assumptions!B9),ISNUMBER(Assumptions!B10),Inputs!C27&gt;=0,Assumptions!B5&gt;=0,SUM(Inputs!C27,Assumptions!B5)&gt;0,Assumptions!B6&gt;=0,Assumptions!B9&gt;=0,Assumptions!B10&gt;=0,Assumptions!B10&lt;=1),Inputs!C27/SUM(Inputs!C27,Assumptions!B5)*(Assumptions!B7+Assumptions!B8*Assumptions!B9)+Assumptions!B5/SUM(Inputs!C27,Assumptions!B5)*Assumptions!B6*(1-Assumptions!B10),"")</f>
        <v/>
      </c>
    </row>
    <row r="8">
      <c r="A8" s="1" t="inlineStr">
        <is>
          <t>Gross margin</t>
        </is>
      </c>
      <c r="B8" s="22">
        <f>IF(AND(ISNUMBER(Inputs!C12),ISNUMBER(Inputs!C7),Inputs!C7&gt;0),Inputs!C12/Inputs!C7,"")</f>
        <v>0.688237423861652</v>
      </c>
    </row>
    <row r="9">
      <c r="A9" s="1" t="inlineStr">
        <is>
          <t>EBIT margin</t>
        </is>
      </c>
      <c r="B9" s="22">
        <f>IF(AND(ISNUMBER(Inputs!C13),ISNUMBER(Inputs!C7),Inputs!C7&gt;0),Inputs!C13/Inputs!C7,"")</f>
        <v>0.456219562408599</v>
      </c>
    </row>
    <row r="10">
      <c r="A10" s="1" t="inlineStr">
        <is>
          <t>Net profit margin</t>
        </is>
      </c>
      <c r="B10" s="22">
        <f>IF(AND(ISNUMBER(Inputs!C14),ISNUMBER(Inputs!C7),Inputs!C7&gt;0),Inputs!C14/Inputs!C7,"")</f>
        <v>0.361460152489671</v>
      </c>
    </row>
    <row r="11">
      <c r="A11" s="1" t="inlineStr">
        <is>
          <t>Free cash flow</t>
        </is>
      </c>
      <c r="B11" s="23">
        <f>IF(AND(ISNUMBER(Inputs!C17),ISNUMBER(Inputs!C18),Inputs!C18&gt;=0),Inputs!C17-Inputs!C18,"")</f>
        <v>71611000000</v>
      </c>
    </row>
    <row r="12">
      <c r="A12" s="1" t="inlineStr">
        <is>
          <t>FCF margin</t>
        </is>
      </c>
      <c r="B12" s="22">
        <f>IF(AND(ISNUMBER(Inputs!C17),ISNUMBER(Inputs!C18),ISNUMBER(Inputs!C7),Inputs!C18&gt;=0,Inputs!C7&gt;0,ISNUMBER(Calculations!B11)),Calculations!B11/Inputs!C7,"")</f>
        <v>0.254188496542716</v>
      </c>
    </row>
    <row r="13">
      <c r="A13" s="1" t="inlineStr">
        <is>
          <t>Current ratio</t>
        </is>
      </c>
      <c r="B13" s="14">
        <f>IF(AND(ISNUMBER(Inputs!C22),ISNUMBER(Inputs!C23),Inputs!C22&gt;=0,Inputs!C23&gt;0),Inputs!C22/Inputs!C23,"")</f>
        <v>1.35344644450424</v>
      </c>
    </row>
    <row r="14">
      <c r="A14" s="1" t="inlineStr">
        <is>
          <t>Quick ratio</t>
        </is>
      </c>
      <c r="B14" s="14">
        <f>IF(AND(ISNUMBER(Inputs!C22),ISNUMBER(Inputs!C24),ISNUMBER(Inputs!C23),Inputs!C22&gt;=0,Inputs!C23&gt;0,Inputs!C24&gt;=0,Inputs!C24&lt;=Inputs!C22),(Inputs!C22-Inputs!C24)/Inputs!C23,"")</f>
        <v>1.34680423175516</v>
      </c>
    </row>
    <row r="15">
      <c r="A15" s="1" t="inlineStr">
        <is>
          <t>Interest coverage</t>
        </is>
      </c>
      <c r="B15" s="14">
        <f>IF(AND(ISNUMBER(Inputs!C13),ISNUMBER(Inputs!C15),Inputs!C15&gt;0),Inputs!C13/Inputs!C15,"")</f>
        <v>53.8901467505241</v>
      </c>
    </row>
    <row r="16">
      <c r="A16" s="1" t="inlineStr">
        <is>
          <t>Return on assets</t>
        </is>
      </c>
      <c r="B16" s="22">
        <f>IF(AND(ISNUMBER(Inputs!C14),ISNUMBER(Inputs!B20),ISNUMBER(Inputs!C20),Inputs!B20&gt;=0,Inputs!C20&gt;=0,SUM(Inputs!B20,Inputs!C20)&gt;0),Inputs!C14/AVERAGE(Inputs!B20,Inputs!C20),"")</f>
        <v>0.180047844436626</v>
      </c>
    </row>
    <row r="17">
      <c r="A17" s="1" t="inlineStr">
        <is>
          <t>Return on equity</t>
        </is>
      </c>
      <c r="B17" s="22">
        <f>IF(AND(ISNUMBER(Inputs!C14),ISNUMBER(Inputs!B21),ISNUMBER(Inputs!C21),Inputs!B21&gt;=0,Inputs!C21&gt;=0,SUM(Inputs!B21,Inputs!C21)&gt;0),Inputs!C14/AVERAGE(Inputs!B21,Inputs!C21),"")</f>
        <v>0.332808241115374</v>
      </c>
    </row>
    <row r="18">
      <c r="A18" s="1" t="inlineStr">
        <is>
          <t>Enterprise value (simplified)</t>
        </is>
      </c>
      <c r="B18" s="23" t="str">
        <f>IF(AND(ISNUMBER(Inputs!C27),ISNUMBER(Inputs!C9),ISNUMBER(Inputs!C10),Inputs!C27&gt;=0,Inputs!C9&gt;=0,Inputs!C10&gt;=0),Inputs!C27+Inputs!C9-Inputs!C10,"")</f>
        <v/>
      </c>
    </row>
    <row r="19">
      <c r="A19" s="1" t="inlineStr">
        <is>
          <t>EV / Revenue</t>
        </is>
      </c>
      <c r="B19" s="14" t="str">
        <f>IF(AND(ISNUMBER(Inputs!C27),ISNUMBER(Inputs!C9),ISNUMBER(Inputs!C10),ISNUMBER(Inputs!C7),Inputs!C27&gt;=0,Inputs!C9&gt;=0,Inputs!C10&gt;=0,Inputs!C7&gt;0,ISNUMBER(Calculations!B18)),Calculations!B18/Inputs!C7,"")</f>
        <v/>
      </c>
    </row>
    <row r="20">
      <c r="A20" s="1" t="inlineStr">
        <is>
          <t>EV / EBITDA</t>
        </is>
      </c>
      <c r="B20" s="14" t="str">
        <f>IF(AND(ISNUMBER(Inputs!C27),ISNUMBER(Inputs!C9),ISNUMBER(Inputs!C10),ISNUMBER(Inputs!C8),Inputs!C27&gt;=0,Inputs!C9&gt;=0,Inputs!C10&gt;=0,Inputs!C8&gt;0,ISNUMBER(Calculations!B18)),Calculations!B18/Inputs!C8,"")</f>
        <v/>
      </c>
    </row>
    <row r="21">
      <c r="A21" s="1" t="inlineStr">
        <is>
          <t>P/E</t>
        </is>
      </c>
      <c r="B21" s="14" t="str">
        <f>IF(AND(ISNUMBER(Inputs!C27),ISNUMBER(Inputs!C14),Inputs!C27&gt;=0,Inputs!C14&gt;0),Inputs!C27/Inputs!C14,"")</f>
        <v/>
      </c>
    </row>
    <row r="22">
      <c r="A22" s="1" t="inlineStr">
        <is>
          <t>Revenue CAGR</t>
        </is>
      </c>
      <c r="B22" s="22">
        <f>IF(AND(ISNUMBER(Inputs!D7),ISNUMBER(Inputs!C7),Inputs!D7&gt;0,Inputs!C7&gt;=0,ISNUMBER(Inputs!D3),ISNUMBER(Inputs!C3),Inputs!C3&gt;Inputs!D3),(Inputs!C7/Inputs!D7)^(1/(Inputs!C3-Inputs!D3))-1,"")</f>
        <v>0.153004689733865</v>
      </c>
    </row>
    <row r="23">
      <c r="A23" s="1" t="inlineStr">
        <is>
          <t>EBITDA CAGR</t>
        </is>
      </c>
      <c r="B23" s="22">
        <f>IF(AND(ISNUMBER(Inputs!D8),ISNUMBER(Inputs!C8),Inputs!D8&gt;0,Inputs!C8&gt;=0,ISNUMBER(Inputs!D3),ISNUMBER(Inputs!C3),Inputs!C3&gt;Inputs!D3),(Inputs!C8/Inputs!D8)^(1/(Inputs!C3-Inputs!D3))-1,"")</f>
        <v>0.238645340160718</v>
      </c>
    </row>
    <row r="24">
      <c r="A24" s="1" t="inlineStr">
        <is>
          <t>Net leverage change YoY</t>
        </is>
      </c>
      <c r="B24" s="14">
        <f>IF(AND(ISNUMBER(Inputs!B9),ISNUMBER(Inputs!C9),ISNUMBER(Inputs!B10),ISNUMBER(Inputs!C10),ISNUMBER(Inputs!B8),ISNUMBER(Inputs!C8),Inputs!B8&gt;0,Inputs!C8&gt;0,ISNUMBER(Calculations!B5)),B5-(Inputs!B9-Inputs!B10)/Inputs!B8,"")</f>
        <v>-0.174920987413618</v>
      </c>
    </row>
    <row r="25">
      <c r="A25" s="1" t="inlineStr">
        <is>
          <t>Cash conversion (CFO / EBITDA)</t>
        </is>
      </c>
      <c r="B25" s="22">
        <f>IF(AND(ISNUMBER(Inputs!C17),ISNUMBER(Inputs!C8),Inputs!C8&gt;0),Inputs!C17/Inputs!C8,"")</f>
        <v>0.869889093325156</v>
      </c>
    </row>
    <row r="26">
      <c r="A26" s="1" t="inlineStr">
        <is>
          <t>Days sales outstanding</t>
        </is>
      </c>
      <c r="B26" s="15">
        <f>IF(AND(ISNUMBER(Inputs!B25),ISNUMBER(Inputs!C25),ISNUMBER(Inputs!C7),Inputs!B25&gt;=0,Inputs!C25&gt;=0,Inputs!C7&gt;0),AVERAGE(Inputs!B25,Inputs!C25)/Inputs!C7*365,"")</f>
        <v>82.1594628075705</v>
      </c>
    </row>
    <row r="27">
      <c r="A27" s="1" t="inlineStr">
        <is>
          <t>Days inventory outstanding</t>
        </is>
      </c>
      <c r="B27" s="15">
        <f>IF(AND(ISNUMBER(Inputs!B24),ISNUMBER(Inputs!C24),ISNUMBER(Inputs!C11),Inputs!B24&gt;=0,Inputs!C24&gt;=0,Inputs!C11&gt;0),AVERAGE(Inputs!B24,Inputs!C24)/Inputs!C11*365,"")</f>
        <v>4.53803326843597</v>
      </c>
    </row>
    <row r="28">
      <c r="A28" s="1" t="inlineStr">
        <is>
          <t>Days payable outstanding</t>
        </is>
      </c>
      <c r="B28" s="15">
        <f>IF(AND(ISNUMBER(Inputs!B26),ISNUMBER(Inputs!C26),ISNUMBER(Inputs!C11),Inputs!B26&gt;=0,Inputs!C26&gt;=0,Inputs!C11&gt;0),AVERAGE(Inputs!B26,Inputs!C26)/Inputs!C11*365,"")</f>
        <v>103.31090389498</v>
      </c>
    </row>
    <row r="29">
      <c r="A29" s="1" t="inlineStr">
        <is>
          <t>Cash conversion cycle (CCC)</t>
        </is>
      </c>
      <c r="B29" s="15">
        <f>IF(AND(ISNUMBER(Inputs!B25),ISNUMBER(Inputs!C25),ISNUMBER(Inputs!C7),ISNUMBER(Inputs!B24),ISNUMBER(Inputs!C24),ISNUMBER(Inputs!C11),ISNUMBER(Inputs!B26),ISNUMBER(Inputs!C26),Inputs!B25&gt;=0,Inputs!C25&gt;=0,Inputs!C7&gt;0,Inputs!B24&gt;=0,Inputs!C24&gt;=0,Inputs!C11&gt;0,Inputs!B26&gt;=0,Inputs!C26&gt;=0,ISNUMBER(Calculations!B26),ISNUMBER(Calculations!B27),ISNUMBER(Calculations!B28)),Calculations!B26+Calculations!B27-Calculations!B28,"")</f>
        <v>-16.6134078189736</v>
      </c>
    </row>
    <row r="30">
      <c r="A30" s="1" t="n"/>
      <c r="B30" s="1" t="n"/>
    </row>
    <row r="31">
      <c r="A31" s="1" t="n"/>
      <c r="B31" s="1" t="n"/>
    </row>
    <row r="32">
      <c r="A32" s="1" t="inlineStr">
        <is>
          <t>Unavailable inputs or invalid denominators leave results blank; see Checks.</t>
        </is>
      </c>
      <c r="B32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</row>
    <row r="2">
      <c r="A2" s="1" t="inlineStr">
        <is>
          <t>Company</t>
        </is>
      </c>
      <c r="B2" s="1" t="inlineStr">
        <is>
          <t>Microsoft Corporation</t>
        </is>
      </c>
      <c r="C2" s="1" t="n"/>
      <c r="D2" s="1" t="n"/>
    </row>
    <row r="3">
      <c r="A3" s="1" t="inlineStr">
        <is>
          <t>Fiscal year</t>
        </is>
      </c>
      <c r="B3" s="1" t="n">
        <v>2024</v>
      </c>
      <c r="C3" s="1" t="n">
        <v>2025</v>
      </c>
      <c r="D3" s="1" t="n">
        <v>2023</v>
      </c>
    </row>
    <row r="4">
      <c r="A4" s="1" t="inlineStr">
        <is>
          <t>Currency</t>
        </is>
      </c>
      <c r="B4" s="16" t="str">
        <f>IF(C4&lt;&gt;"",C4,"")</f>
        <v>USD</v>
      </c>
      <c r="C4" s="1" t="inlineStr">
        <is>
          <t>USD</t>
        </is>
      </c>
      <c r="D4" s="1" t="n"/>
    </row>
    <row r="5">
      <c r="A5" s="1" t="inlineStr">
        <is>
          <t>Company ID / scope</t>
        </is>
      </c>
      <c r="B5" s="1" t="inlineStr">
        <is>
          <t>msft</t>
        </is>
      </c>
      <c r="C5" s="1" t="inlineStr">
        <is>
          <t>consolidated</t>
        </is>
      </c>
      <c r="D5" s="1" t="n"/>
    </row>
    <row r="6" ht="30" customHeight="1">
      <c r="A6" s="3" t="inlineStr">
        <is>
          <t>Amounts shown in millions</t>
        </is>
      </c>
      <c r="B6" s="3" t="inlineStr">
        <is>
          <t>Previous FY</t>
        </is>
      </c>
      <c r="C6" s="3" t="inlineStr">
        <is>
          <t>Latest FY</t>
        </is>
      </c>
      <c r="D6" s="3" t="inlineStr">
        <is>
          <t>First FY (CAGR only)</t>
        </is>
      </c>
    </row>
    <row r="7">
      <c r="A7" s="1" t="inlineStr">
        <is>
          <t>Revenue</t>
        </is>
      </c>
      <c r="B7" s="20" t="n">
        <v>245122000000</v>
      </c>
      <c r="C7" s="20" t="n">
        <v>281724000000</v>
      </c>
      <c r="D7" s="20" t="n">
        <v>211915000000</v>
      </c>
    </row>
    <row r="8">
      <c r="A8" s="1" t="inlineStr">
        <is>
          <t>EBITDA</t>
        </is>
      </c>
      <c r="B8" s="20" t="n">
        <v>129433000000</v>
      </c>
      <c r="C8" s="20" t="n">
        <v>156528000000</v>
      </c>
      <c r="D8" s="20" t="n">
        <v>102023000000</v>
      </c>
    </row>
    <row r="9">
      <c r="A9" s="1" t="inlineStr">
        <is>
          <t>Total debt</t>
        </is>
      </c>
      <c r="B9" s="20" t="n">
        <v>51630000000</v>
      </c>
      <c r="C9" s="20" t="n">
        <v>43151000000</v>
      </c>
      <c r="D9" s="1" t="n"/>
    </row>
    <row r="10">
      <c r="A10" s="1" t="inlineStr">
        <is>
          <t>Cash and equivalents</t>
        </is>
      </c>
      <c r="B10" s="20" t="n">
        <v>18315000000</v>
      </c>
      <c r="C10" s="20" t="n">
        <v>30242000000</v>
      </c>
      <c r="D10" s="1" t="n"/>
    </row>
    <row r="11">
      <c r="A11" s="1" t="inlineStr">
        <is>
          <t>Cost of goods sold</t>
        </is>
      </c>
      <c r="B11" s="20" t="n">
        <v>74114000000</v>
      </c>
      <c r="C11" s="20" t="n">
        <v>87831000000</v>
      </c>
      <c r="D11" s="1" t="n"/>
    </row>
    <row r="12">
      <c r="A12" s="1" t="inlineStr">
        <is>
          <t>Gross profit</t>
        </is>
      </c>
      <c r="B12" s="20" t="n">
        <v>171008000000</v>
      </c>
      <c r="C12" s="20" t="n">
        <v>193893000000</v>
      </c>
      <c r="D12" s="1" t="n"/>
    </row>
    <row r="13">
      <c r="A13" s="1" t="inlineStr">
        <is>
          <t>EBIT</t>
        </is>
      </c>
      <c r="B13" s="20" t="n">
        <v>109433000000</v>
      </c>
      <c r="C13" s="20" t="n">
        <v>128528000000</v>
      </c>
      <c r="D13" s="1" t="n"/>
    </row>
    <row r="14">
      <c r="A14" s="1" t="inlineStr">
        <is>
          <t>Net income</t>
        </is>
      </c>
      <c r="B14" s="20" t="n">
        <v>88136000000</v>
      </c>
      <c r="C14" s="20" t="n">
        <v>101832000000</v>
      </c>
      <c r="D14" s="1" t="n"/>
    </row>
    <row r="15">
      <c r="A15" s="1" t="inlineStr">
        <is>
          <t>Interest expense</t>
        </is>
      </c>
      <c r="B15" s="20" t="n">
        <v>2935000000</v>
      </c>
      <c r="C15" s="20" t="n">
        <v>2385000000</v>
      </c>
      <c r="D15" s="1" t="n"/>
    </row>
    <row r="16">
      <c r="A16" s="1" t="inlineStr">
        <is>
          <t>Income tax expense</t>
        </is>
      </c>
      <c r="B16" s="20" t="n">
        <v>19651000000</v>
      </c>
      <c r="C16" s="20" t="n">
        <v>21795000000</v>
      </c>
      <c r="D16" s="1" t="n"/>
    </row>
    <row r="17">
      <c r="A17" s="1" t="inlineStr">
        <is>
          <t>Operating cash flow</t>
        </is>
      </c>
      <c r="B17" s="20" t="n">
        <v>118548000000</v>
      </c>
      <c r="C17" s="20" t="n">
        <v>136162000000</v>
      </c>
      <c r="D17" s="1" t="n"/>
    </row>
    <row r="18">
      <c r="A18" s="1" t="inlineStr">
        <is>
          <t>Capex (positive spending)</t>
        </is>
      </c>
      <c r="B18" s="20" t="n">
        <v>44477000000</v>
      </c>
      <c r="C18" s="20" t="n">
        <v>64551000000</v>
      </c>
      <c r="D18" s="1" t="n"/>
    </row>
    <row r="19">
      <c r="A19" s="1" t="inlineStr">
        <is>
          <t>Dividends paid</t>
        </is>
      </c>
      <c r="B19" s="20" t="n">
        <v>21771000000</v>
      </c>
      <c r="C19" s="20" t="n">
        <v>24082000000</v>
      </c>
      <c r="D19" s="1" t="n"/>
    </row>
    <row r="20">
      <c r="A20" s="1" t="inlineStr">
        <is>
          <t>Total assets</t>
        </is>
      </c>
      <c r="B20" s="20" t="n">
        <v>512163000000</v>
      </c>
      <c r="C20" s="20" t="n">
        <v>619003000000</v>
      </c>
      <c r="D20" s="1" t="n"/>
    </row>
    <row r="21">
      <c r="A21" s="1" t="inlineStr">
        <is>
          <t>Total equity</t>
        </is>
      </c>
      <c r="B21" s="20" t="n">
        <v>268477000000</v>
      </c>
      <c r="C21" s="20" t="n">
        <v>343479000000</v>
      </c>
      <c r="D21" s="1" t="n"/>
    </row>
    <row r="22">
      <c r="A22" s="1" t="inlineStr">
        <is>
          <t>Current assets</t>
        </is>
      </c>
      <c r="B22" s="20" t="n">
        <v>159734000000</v>
      </c>
      <c r="C22" s="20" t="n">
        <v>191131000000</v>
      </c>
      <c r="D22" s="1" t="n"/>
    </row>
    <row r="23">
      <c r="A23" s="1" t="inlineStr">
        <is>
          <t>Current liabilities</t>
        </is>
      </c>
      <c r="B23" s="20" t="n">
        <v>125286000000</v>
      </c>
      <c r="C23" s="20" t="n">
        <v>141218000000</v>
      </c>
      <c r="D23" s="1" t="n"/>
    </row>
    <row r="24">
      <c r="A24" s="1" t="inlineStr">
        <is>
          <t>Inventory</t>
        </is>
      </c>
      <c r="B24" s="20" t="n">
        <v>1246000000</v>
      </c>
      <c r="C24" s="20" t="n">
        <v>938000000</v>
      </c>
      <c r="D24" s="1" t="n"/>
    </row>
    <row r="25">
      <c r="A25" s="1" t="inlineStr">
        <is>
          <t>Accounts receivable</t>
        </is>
      </c>
      <c r="B25" s="20" t="n">
        <v>56924000000</v>
      </c>
      <c r="C25" s="20" t="n">
        <v>69905000000</v>
      </c>
      <c r="D25" s="1" t="n"/>
    </row>
    <row r="26">
      <c r="A26" s="1" t="inlineStr">
        <is>
          <t>Accounts payable</t>
        </is>
      </c>
      <c r="B26" s="20" t="n">
        <v>21996000000</v>
      </c>
      <c r="C26" s="20" t="n">
        <v>27724000000</v>
      </c>
      <c r="D26" s="1" t="n"/>
    </row>
    <row r="27">
      <c r="A27" s="1" t="inlineStr">
        <is>
          <t>Market cap</t>
        </is>
      </c>
      <c r="B27" s="20" t="n"/>
      <c r="C27" s="20" t="n"/>
      <c r="D27" s="1" t="n"/>
    </row>
    <row r="28">
      <c r="A28" s="1" t="inlineStr">
        <is>
          <t>Share price</t>
        </is>
      </c>
      <c r="B28" s="11" t="n"/>
      <c r="C28" s="11" t="n"/>
      <c r="D28" s="1" t="n"/>
    </row>
    <row r="29">
      <c r="A29" s="1" t="inlineStr">
        <is>
          <t>Shares outstanding</t>
        </is>
      </c>
      <c r="B29" s="17" t="n">
        <v>7434000000</v>
      </c>
      <c r="C29" s="17" t="n">
        <v>7434000000</v>
      </c>
      <c r="D29" s="1" t="n"/>
    </row>
    <row r="30">
      <c r="A30" s="1" t="inlineStr">
        <is>
          <t>Monthly recurring revenue (MRR)</t>
        </is>
      </c>
      <c r="B30" s="20" t="n"/>
      <c r="C30" s="20" t="n"/>
      <c r="D30" s="1" t="n"/>
    </row>
    <row r="31">
      <c r="A31" s="1" t="n"/>
      <c r="B31" s="1" t="n"/>
      <c r="C31" s="1" t="n"/>
      <c r="D31" s="1" t="n"/>
    </row>
    <row r="32">
      <c r="A32" s="1" t="inlineStr">
        <is>
          <t>Flows: full FY. Balances and market values: same FY end.</t>
        </is>
      </c>
      <c r="B32" s="1" t="n"/>
      <c r="C32" s="1" t="n"/>
      <c r="D32" s="1" t="n"/>
    </row>
    <row r="33">
      <c r="A33" s="1" t="inlineStr">
        <is>
          <t>Fiscal year labels do not imply 31 December.</t>
        </is>
      </c>
      <c r="B33" s="1" t="n"/>
      <c r="C33" s="1" t="n"/>
      <c r="D33" s="1" t="n"/>
    </row>
    <row r="34">
      <c r="A34" s="1" t="inlineStr">
        <is>
          <t>Share price is per share; shares are counts. Other money is shown in millions.</t>
        </is>
      </c>
      <c r="B34" s="1" t="n"/>
      <c r="C34" s="1" t="n"/>
      <c r="D3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90" customWidth="1" min="5" max="5"/>
    <col width="55" customWidth="1" min="6" max="6"/>
    <col width="24" customWidth="1" min="7" max="7"/>
  </cols>
  <sheetData>
    <row r="1">
      <c r="A1" s="4" t="n"/>
      <c r="B1" s="4" t="n"/>
      <c r="C1" s="4" t="n"/>
      <c r="D1" s="4" t="n"/>
      <c r="E1" s="4" t="n"/>
      <c r="F1" s="4" t="n"/>
    </row>
    <row r="2">
      <c r="A2" s="2" t="inlineStr">
        <is>
          <t>Validation issues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3" t="inlineStr">
        <is>
          <t>Severity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Company ID</t>
        </is>
      </c>
      <c r="E4" s="3" t="inlineStr">
        <is>
          <t>Message</t>
        </is>
      </c>
      <c r="F4" s="3" t="inlineStr">
        <is>
          <t>Source</t>
        </is>
      </c>
    </row>
    <row r="5" ht="66" customHeight="1">
      <c r="A5" s="4" t="inlineStr">
        <is>
          <t>warning</t>
        </is>
      </c>
      <c r="B5" s="4" t="inlineStr">
        <is>
          <t>MISSING_INPUTS</t>
        </is>
      </c>
      <c r="C5" s="4" t="inlineStr">
        <is>
          <t>arr</t>
        </is>
      </c>
      <c r="D5" s="4" t="inlineStr">
        <is>
          <t>msft</t>
        </is>
      </c>
      <c r="E5" s="4" t="inlineStr">
        <is>
          <t>Missing/unavailable inputs: monthly_recurring_revenue FY2025</t>
        </is>
      </c>
      <c r="F5" s="4" t="n"/>
    </row>
    <row r="6" ht="66" customHeight="1">
      <c r="A6" s="4" t="inlineStr">
        <is>
          <t>warning</t>
        </is>
      </c>
      <c r="B6" s="4" t="inlineStr">
        <is>
          <t>MISSING_INPUTS</t>
        </is>
      </c>
      <c r="C6" s="4" t="inlineStr">
        <is>
          <t>wacc</t>
        </is>
      </c>
      <c r="D6" s="4" t="inlineStr">
        <is>
          <t>msft</t>
        </is>
      </c>
      <c r="E6" s="4" t="inlineStr">
        <is>
          <t>Missing/unavailable inputs: market_cap FY2025, pre_tax_cost_of_debt FY2025, risk_free_rate FY2025, equity_beta FY2025, equity_risk_premium FY2025, marginal_tax_rate FY2025</t>
        </is>
      </c>
      <c r="F6" s="4" t="n"/>
    </row>
    <row r="7" ht="66" customHeight="1">
      <c r="A7" s="4" t="inlineStr">
        <is>
          <t>warning</t>
        </is>
      </c>
      <c r="B7" s="4" t="inlineStr">
        <is>
          <t>MISSING_INPUTS</t>
        </is>
      </c>
      <c r="C7" s="4" t="inlineStr">
        <is>
          <t>enterprise_value</t>
        </is>
      </c>
      <c r="D7" s="4" t="inlineStr">
        <is>
          <t>msft</t>
        </is>
      </c>
      <c r="E7" s="4" t="inlineStr">
        <is>
          <t>Missing/unavailable inputs: market_cap FY2025</t>
        </is>
      </c>
      <c r="F7" s="4" t="n"/>
    </row>
    <row r="8" ht="66" customHeight="1">
      <c r="A8" s="4" t="inlineStr">
        <is>
          <t>warning</t>
        </is>
      </c>
      <c r="B8" s="4" t="inlineStr">
        <is>
          <t>MISSING_INPUTS</t>
        </is>
      </c>
      <c r="C8" s="4" t="inlineStr">
        <is>
          <t>ev_to_revenue</t>
        </is>
      </c>
      <c r="D8" s="4" t="inlineStr">
        <is>
          <t>msft</t>
        </is>
      </c>
      <c r="E8" s="4" t="inlineStr">
        <is>
          <t>Missing/unavailable inputs: market_cap FY2025</t>
        </is>
      </c>
      <c r="F8" s="4" t="n"/>
    </row>
    <row r="9" ht="66" customHeight="1">
      <c r="A9" s="4" t="inlineStr">
        <is>
          <t>warning</t>
        </is>
      </c>
      <c r="B9" s="4" t="inlineStr">
        <is>
          <t>MISSING_INPUTS</t>
        </is>
      </c>
      <c r="C9" s="4" t="inlineStr">
        <is>
          <t>ev_to_ebitda</t>
        </is>
      </c>
      <c r="D9" s="4" t="inlineStr">
        <is>
          <t>msft</t>
        </is>
      </c>
      <c r="E9" s="4" t="inlineStr">
        <is>
          <t>Missing/unavailable inputs: market_cap FY2025</t>
        </is>
      </c>
      <c r="F9" s="4" t="n"/>
    </row>
    <row r="10" ht="66" customHeight="1">
      <c r="A10" s="4" t="inlineStr">
        <is>
          <t>warning</t>
        </is>
      </c>
      <c r="B10" s="4" t="inlineStr">
        <is>
          <t>MISSING_INPUTS</t>
        </is>
      </c>
      <c r="C10" s="4" t="inlineStr">
        <is>
          <t>price_to_earnings</t>
        </is>
      </c>
      <c r="D10" s="4" t="inlineStr">
        <is>
          <t>msft</t>
        </is>
      </c>
      <c r="E10" s="4" t="inlineStr">
        <is>
          <t>Missing/unavailable inputs: market_cap FY2025</t>
        </is>
      </c>
      <c r="F10" s="4" t="n"/>
    </row>
    <row r="11" ht="66" customHeight="1">
      <c r="A11" s="4" t="inlineStr">
        <is>
          <t>warning</t>
        </is>
      </c>
      <c r="B11" s="4" t="inlineStr">
        <is>
          <t>DERIVED_APPROXIMATE</t>
        </is>
      </c>
      <c r="C11" s="4" t="inlineStr">
        <is>
          <t>ebitda</t>
        </is>
      </c>
      <c r="D11" s="4" t="inlineStr">
        <is>
          <t>msft</t>
        </is>
      </c>
      <c r="E11" s="4" t="inlineStr">
        <is>
          <t>Approximate reconstructed operating EBITDA: operating EBIT + separately disclosed depreciation + intangible amortization; rounded source components. Not reported EBITDA; no extra ROU add-back.</t>
        </is>
      </c>
      <c r="F11" s="4" t="n"/>
    </row>
    <row r="12" ht="66" customHeight="1">
      <c r="A12" s="4" t="inlineStr">
        <is>
          <t>warning</t>
        </is>
      </c>
      <c r="B12" s="4" t="inlineStr">
        <is>
          <t>DERIVED_APPROXIMATE</t>
        </is>
      </c>
      <c r="C12" s="4" t="inlineStr">
        <is>
          <t>ebitda</t>
        </is>
      </c>
      <c r="D12" s="4" t="inlineStr">
        <is>
          <t>msft</t>
        </is>
      </c>
      <c r="E12" s="4" t="inlineStr">
        <is>
          <t>Approximate reconstructed operating EBITDA: operating EBIT + separately disclosed depreciation + intangible amortization; rounded source components. Not reported EBITDA; no extra ROU add-back.</t>
        </is>
      </c>
      <c r="F12" s="4" t="n"/>
    </row>
    <row r="13" ht="66" customHeight="1">
      <c r="A13" s="4" t="inlineStr">
        <is>
          <t>warning</t>
        </is>
      </c>
      <c r="B13" s="4" t="inlineStr">
        <is>
          <t>DERIVED_APPROXIMATE</t>
        </is>
      </c>
      <c r="C13" s="4" t="inlineStr">
        <is>
          <t>ebitda</t>
        </is>
      </c>
      <c r="D13" s="4" t="inlineStr">
        <is>
          <t>msft</t>
        </is>
      </c>
      <c r="E13" s="4" t="inlineStr">
        <is>
          <t>Approximate reconstructed operating EBITDA: operating EBIT + separately disclosed depreciation + intangible amortization; rounded source components. Not reported EBITDA; no extra ROU add-back.</t>
        </is>
      </c>
      <c r="F13" s="4" t="n"/>
    </row>
  </sheetData>
  <autoFilter ref="A4:F1004"/>
  <conditionalFormatting sqref="A5:F1004">
    <cfRule type="expression" priority="1" dxfId="1">
      <formula>$A5="error"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14" customWidth="1" min="3" max="3"/>
    <col width="25" customWidth="1" min="4" max="4"/>
    <col width="35" customWidth="1" min="5" max="5"/>
    <col width="28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8" customWidth="1" min="12" max="12"/>
    <col width="24" customWidth="1" min="13" max="13"/>
    <col width="20" customWidth="1" min="14" max="14"/>
    <col width="20" customWidth="1" min="15" max="15"/>
    <col width="36" customWidth="1" min="16" max="16"/>
    <col width="64" customWidth="1" min="17" max="17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2" t="inlineStr">
        <is>
          <t>Source-to-cell lineage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30" customHeight="1">
      <c r="A4" s="3" t="inlineStr">
        <is>
          <t>Source file</t>
        </is>
      </c>
      <c r="B4" s="3" t="inlineStr">
        <is>
          <t>Source sheet</t>
        </is>
      </c>
      <c r="C4" s="3" t="inlineStr">
        <is>
          <t>Source row</t>
        </is>
      </c>
      <c r="D4" s="3" t="inlineStr">
        <is>
          <t>Source column</t>
        </is>
      </c>
      <c r="E4" s="3" t="inlineStr">
        <is>
          <t>Locator</t>
        </is>
      </c>
      <c r="F4" s="3" t="inlineStr">
        <is>
          <t>Field</t>
        </is>
      </c>
      <c r="G4" s="3" t="inlineStr">
        <is>
          <t>Fiscal year</t>
        </is>
      </c>
      <c r="H4" s="3" t="inlineStr">
        <is>
          <t>Period</t>
        </is>
      </c>
      <c r="I4" s="3" t="inlineStr">
        <is>
          <t>Scope</t>
        </is>
      </c>
      <c r="J4" s="3" t="inlineStr">
        <is>
          <t>Currency</t>
        </is>
      </c>
      <c r="K4" s="3" t="inlineStr">
        <is>
          <t>Original value</t>
        </is>
      </c>
      <c r="L4" s="3" t="inlineStr">
        <is>
          <t>Original unit</t>
        </is>
      </c>
      <c r="M4" s="3" t="inlineStr">
        <is>
          <t>Normalized value</t>
        </is>
      </c>
      <c r="N4" s="3" t="inlineStr">
        <is>
          <t>Canonical unit</t>
        </is>
      </c>
      <c r="O4" s="3" t="inlineStr">
        <is>
          <t>Value status</t>
        </is>
      </c>
      <c r="P4" s="3" t="inlineStr">
        <is>
          <t>Destination</t>
        </is>
      </c>
      <c r="Q4" s="3" t="inlineStr">
        <is>
          <t>Dependent metrics</t>
        </is>
      </c>
    </row>
    <row r="5" ht="66" customHeight="1">
      <c r="A5" s="4" t="inlineStr">
        <is>
          <t>/Users/leonidpofa/VSCodeHruchevoPY/quant/Excel_automation/research/microsoft_fy2025/financials.csv</t>
        </is>
      </c>
      <c r="B5" s="4" t="n"/>
      <c r="C5" s="4" t="n">
        <v>2</v>
      </c>
      <c r="D5" s="4" t="inlineStr">
        <is>
          <t>accounts_payable</t>
        </is>
      </c>
      <c r="E5" s="4" t="inlineStr">
        <is>
          <t>row 2, column accounts_payable</t>
        </is>
      </c>
      <c r="F5" s="4" t="inlineStr">
        <is>
          <t>accounts_payable</t>
        </is>
      </c>
      <c r="G5" s="4" t="n">
        <v>2023</v>
      </c>
      <c r="H5" s="4" t="inlineStr">
        <is>
          <t>FY</t>
        </is>
      </c>
      <c r="I5" s="4" t="inlineStr">
        <is>
          <t>consolidated</t>
        </is>
      </c>
      <c r="J5" s="4" t="inlineStr">
        <is>
          <t>USD</t>
        </is>
      </c>
      <c r="K5" s="4" t="inlineStr"/>
      <c r="L5" s="4" t="inlineStr">
        <is>
          <t>millions</t>
        </is>
      </c>
      <c r="M5" s="4" t="n"/>
      <c r="N5" s="4" t="inlineStr">
        <is>
          <t>USD</t>
        </is>
      </c>
      <c r="O5" s="4" t="inlineStr">
        <is>
          <t>missing</t>
        </is>
      </c>
      <c r="P5" s="4" t="n"/>
      <c r="Q5" s="4" t="inlineStr"/>
    </row>
    <row r="6" ht="66" customHeight="1">
      <c r="A6" s="4" t="inlineStr">
        <is>
          <t>/Users/leonidpofa/VSCodeHruchevoPY/quant/Excel_automation/research/microsoft_fy2025/financials.csv</t>
        </is>
      </c>
      <c r="B6" s="4" t="n"/>
      <c r="C6" s="4" t="n">
        <v>3</v>
      </c>
      <c r="D6" s="4" t="inlineStr">
        <is>
          <t>accounts_payable</t>
        </is>
      </c>
      <c r="E6" s="4" t="inlineStr">
        <is>
          <t>row 3, column accounts_payable</t>
        </is>
      </c>
      <c r="F6" s="4" t="inlineStr">
        <is>
          <t>accounts_payable</t>
        </is>
      </c>
      <c r="G6" s="4" t="n">
        <v>2024</v>
      </c>
      <c r="H6" s="4" t="inlineStr">
        <is>
          <t>FY</t>
        </is>
      </c>
      <c r="I6" s="4" t="inlineStr">
        <is>
          <t>consolidated</t>
        </is>
      </c>
      <c r="J6" s="4" t="inlineStr">
        <is>
          <t>USD</t>
        </is>
      </c>
      <c r="K6" s="4" t="inlineStr">
        <is>
          <t>21996</t>
        </is>
      </c>
      <c r="L6" s="4" t="inlineStr">
        <is>
          <t>millions</t>
        </is>
      </c>
      <c r="M6" s="4" t="inlineStr">
        <is>
          <t>21996000000</t>
        </is>
      </c>
      <c r="N6" s="4" t="inlineStr">
        <is>
          <t>USD</t>
        </is>
      </c>
      <c r="O6" s="4" t="inlineStr">
        <is>
          <t>reported</t>
        </is>
      </c>
      <c r="P6" s="4" t="inlineStr">
        <is>
          <t>Inputs!B26</t>
        </is>
      </c>
      <c r="Q6" s="4" t="inlineStr">
        <is>
          <t>dpo, cash_conversion_cycle</t>
        </is>
      </c>
    </row>
    <row r="7" ht="66" customHeight="1">
      <c r="A7" s="4" t="inlineStr">
        <is>
          <t>/Users/leonidpofa/VSCodeHruchevoPY/quant/Excel_automation/research/microsoft_fy2025/financials.csv</t>
        </is>
      </c>
      <c r="B7" s="4" t="n"/>
      <c r="C7" s="4" t="n">
        <v>4</v>
      </c>
      <c r="D7" s="4" t="inlineStr">
        <is>
          <t>accounts_payable</t>
        </is>
      </c>
      <c r="E7" s="4" t="inlineStr">
        <is>
          <t>row 4, column accounts_payable</t>
        </is>
      </c>
      <c r="F7" s="4" t="inlineStr">
        <is>
          <t>accounts_payable</t>
        </is>
      </c>
      <c r="G7" s="4" t="n">
        <v>2025</v>
      </c>
      <c r="H7" s="4" t="inlineStr">
        <is>
          <t>FY</t>
        </is>
      </c>
      <c r="I7" s="4" t="inlineStr">
        <is>
          <t>consolidated</t>
        </is>
      </c>
      <c r="J7" s="4" t="inlineStr">
        <is>
          <t>USD</t>
        </is>
      </c>
      <c r="K7" s="4" t="inlineStr">
        <is>
          <t>27724</t>
        </is>
      </c>
      <c r="L7" s="4" t="inlineStr">
        <is>
          <t>millions</t>
        </is>
      </c>
      <c r="M7" s="4" t="inlineStr">
        <is>
          <t>27724000000</t>
        </is>
      </c>
      <c r="N7" s="4" t="inlineStr">
        <is>
          <t>USD</t>
        </is>
      </c>
      <c r="O7" s="4" t="inlineStr">
        <is>
          <t>reported</t>
        </is>
      </c>
      <c r="P7" s="4" t="inlineStr">
        <is>
          <t>Inputs!C26</t>
        </is>
      </c>
      <c r="Q7" s="4" t="inlineStr">
        <is>
          <t>dpo, cash_conversion_cycle</t>
        </is>
      </c>
    </row>
    <row r="8" ht="66" customHeight="1">
      <c r="A8" s="4" t="inlineStr">
        <is>
          <t>/Users/leonidpofa/VSCodeHruchevoPY/quant/Excel_automation/research/microsoft_fy2025/financials.csv</t>
        </is>
      </c>
      <c r="B8" s="4" t="n"/>
      <c r="C8" s="4" t="n">
        <v>2</v>
      </c>
      <c r="D8" s="4" t="inlineStr">
        <is>
          <t>accounts_receivable</t>
        </is>
      </c>
      <c r="E8" s="4" t="inlineStr">
        <is>
          <t>row 2, column accounts_receivable</t>
        </is>
      </c>
      <c r="F8" s="4" t="inlineStr">
        <is>
          <t>accounts_receivable</t>
        </is>
      </c>
      <c r="G8" s="4" t="n">
        <v>2023</v>
      </c>
      <c r="H8" s="4" t="inlineStr">
        <is>
          <t>FY</t>
        </is>
      </c>
      <c r="I8" s="4" t="inlineStr">
        <is>
          <t>consolidated</t>
        </is>
      </c>
      <c r="J8" s="4" t="inlineStr">
        <is>
          <t>USD</t>
        </is>
      </c>
      <c r="K8" s="4" t="inlineStr"/>
      <c r="L8" s="4" t="inlineStr">
        <is>
          <t>millions</t>
        </is>
      </c>
      <c r="M8" s="4" t="n"/>
      <c r="N8" s="4" t="inlineStr">
        <is>
          <t>USD</t>
        </is>
      </c>
      <c r="O8" s="4" t="inlineStr">
        <is>
          <t>missing</t>
        </is>
      </c>
      <c r="P8" s="4" t="n"/>
      <c r="Q8" s="4" t="inlineStr"/>
    </row>
    <row r="9" ht="66" customHeight="1">
      <c r="A9" s="4" t="inlineStr">
        <is>
          <t>/Users/leonidpofa/VSCodeHruchevoPY/quant/Excel_automation/research/microsoft_fy2025/financials.csv</t>
        </is>
      </c>
      <c r="B9" s="4" t="n"/>
      <c r="C9" s="4" t="n">
        <v>3</v>
      </c>
      <c r="D9" s="4" t="inlineStr">
        <is>
          <t>accounts_receivable</t>
        </is>
      </c>
      <c r="E9" s="4" t="inlineStr">
        <is>
          <t>row 3, column accounts_receivable</t>
        </is>
      </c>
      <c r="F9" s="4" t="inlineStr">
        <is>
          <t>accounts_receivable</t>
        </is>
      </c>
      <c r="G9" s="4" t="n">
        <v>2024</v>
      </c>
      <c r="H9" s="4" t="inlineStr">
        <is>
          <t>FY</t>
        </is>
      </c>
      <c r="I9" s="4" t="inlineStr">
        <is>
          <t>consolidated</t>
        </is>
      </c>
      <c r="J9" s="4" t="inlineStr">
        <is>
          <t>USD</t>
        </is>
      </c>
      <c r="K9" s="4" t="inlineStr">
        <is>
          <t>56924</t>
        </is>
      </c>
      <c r="L9" s="4" t="inlineStr">
        <is>
          <t>millions</t>
        </is>
      </c>
      <c r="M9" s="4" t="inlineStr">
        <is>
          <t>56924000000</t>
        </is>
      </c>
      <c r="N9" s="4" t="inlineStr">
        <is>
          <t>USD</t>
        </is>
      </c>
      <c r="O9" s="4" t="inlineStr">
        <is>
          <t>reported</t>
        </is>
      </c>
      <c r="P9" s="4" t="inlineStr">
        <is>
          <t>Inputs!B25</t>
        </is>
      </c>
      <c r="Q9" s="4" t="inlineStr">
        <is>
          <t>dso, cash_conversion_cycle</t>
        </is>
      </c>
    </row>
    <row r="10" ht="66" customHeight="1">
      <c r="A10" s="4" t="inlineStr">
        <is>
          <t>/Users/leonidpofa/VSCodeHruchevoPY/quant/Excel_automation/research/microsoft_fy2025/financials.csv</t>
        </is>
      </c>
      <c r="B10" s="4" t="n"/>
      <c r="C10" s="4" t="n">
        <v>4</v>
      </c>
      <c r="D10" s="4" t="inlineStr">
        <is>
          <t>accounts_receivable</t>
        </is>
      </c>
      <c r="E10" s="4" t="inlineStr">
        <is>
          <t>row 4, column accounts_receivable</t>
        </is>
      </c>
      <c r="F10" s="4" t="inlineStr">
        <is>
          <t>accounts_receivable</t>
        </is>
      </c>
      <c r="G10" s="4" t="n">
        <v>2025</v>
      </c>
      <c r="H10" s="4" t="inlineStr">
        <is>
          <t>FY</t>
        </is>
      </c>
      <c r="I10" s="4" t="inlineStr">
        <is>
          <t>consolidated</t>
        </is>
      </c>
      <c r="J10" s="4" t="inlineStr">
        <is>
          <t>USD</t>
        </is>
      </c>
      <c r="K10" s="4" t="inlineStr">
        <is>
          <t>69905</t>
        </is>
      </c>
      <c r="L10" s="4" t="inlineStr">
        <is>
          <t>millions</t>
        </is>
      </c>
      <c r="M10" s="4" t="inlineStr">
        <is>
          <t>69905000000</t>
        </is>
      </c>
      <c r="N10" s="4" t="inlineStr">
        <is>
          <t>USD</t>
        </is>
      </c>
      <c r="O10" s="4" t="inlineStr">
        <is>
          <t>reported</t>
        </is>
      </c>
      <c r="P10" s="4" t="inlineStr">
        <is>
          <t>Inputs!C25</t>
        </is>
      </c>
      <c r="Q10" s="4" t="inlineStr">
        <is>
          <t>dso, cash_conversion_cycle</t>
        </is>
      </c>
    </row>
    <row r="11" ht="66" customHeight="1">
      <c r="A11" s="4" t="inlineStr">
        <is>
          <t>/Users/leonidpofa/VSCodeHruchevoPY/quant/Excel_automation/research/microsoft_fy2025/financials.csv</t>
        </is>
      </c>
      <c r="B11" s="4" t="n"/>
      <c r="C11" s="4" t="n">
        <v>2</v>
      </c>
      <c r="D11" s="4" t="inlineStr">
        <is>
          <t>capex</t>
        </is>
      </c>
      <c r="E11" s="4" t="inlineStr">
        <is>
          <t>row 2, column capex</t>
        </is>
      </c>
      <c r="F11" s="4" t="inlineStr">
        <is>
          <t>capex</t>
        </is>
      </c>
      <c r="G11" s="4" t="n">
        <v>2023</v>
      </c>
      <c r="H11" s="4" t="inlineStr">
        <is>
          <t>FY</t>
        </is>
      </c>
      <c r="I11" s="4" t="inlineStr">
        <is>
          <t>consolidated</t>
        </is>
      </c>
      <c r="J11" s="4" t="inlineStr">
        <is>
          <t>USD</t>
        </is>
      </c>
      <c r="K11" s="4" t="inlineStr">
        <is>
          <t>28107</t>
        </is>
      </c>
      <c r="L11" s="4" t="inlineStr">
        <is>
          <t>millions</t>
        </is>
      </c>
      <c r="M11" s="4" t="inlineStr">
        <is>
          <t>28107000000</t>
        </is>
      </c>
      <c r="N11" s="4" t="inlineStr">
        <is>
          <t>USD</t>
        </is>
      </c>
      <c r="O11" s="4" t="inlineStr">
        <is>
          <t>reported</t>
        </is>
      </c>
      <c r="P11" s="4" t="n"/>
      <c r="Q11" s="4" t="inlineStr"/>
    </row>
    <row r="12" ht="66" customHeight="1">
      <c r="A12" s="4" t="inlineStr">
        <is>
          <t>/Users/leonidpofa/VSCodeHruchevoPY/quant/Excel_automation/research/microsoft_fy2025/financials.csv</t>
        </is>
      </c>
      <c r="B12" s="4" t="n"/>
      <c r="C12" s="4" t="n">
        <v>3</v>
      </c>
      <c r="D12" s="4" t="inlineStr">
        <is>
          <t>capex</t>
        </is>
      </c>
      <c r="E12" s="4" t="inlineStr">
        <is>
          <t>row 3, column capex</t>
        </is>
      </c>
      <c r="F12" s="4" t="inlineStr">
        <is>
          <t>capex</t>
        </is>
      </c>
      <c r="G12" s="4" t="n">
        <v>2024</v>
      </c>
      <c r="H12" s="4" t="inlineStr">
        <is>
          <t>FY</t>
        </is>
      </c>
      <c r="I12" s="4" t="inlineStr">
        <is>
          <t>consolidated</t>
        </is>
      </c>
      <c r="J12" s="4" t="inlineStr">
        <is>
          <t>USD</t>
        </is>
      </c>
      <c r="K12" s="4" t="inlineStr">
        <is>
          <t>44477</t>
        </is>
      </c>
      <c r="L12" s="4" t="inlineStr">
        <is>
          <t>millions</t>
        </is>
      </c>
      <c r="M12" s="4" t="inlineStr">
        <is>
          <t>44477000000</t>
        </is>
      </c>
      <c r="N12" s="4" t="inlineStr">
        <is>
          <t>USD</t>
        </is>
      </c>
      <c r="O12" s="4" t="inlineStr">
        <is>
          <t>reported</t>
        </is>
      </c>
      <c r="P12" s="4" t="inlineStr">
        <is>
          <t>Inputs!B18</t>
        </is>
      </c>
      <c r="Q12" s="4" t="inlineStr"/>
    </row>
    <row r="13" ht="66" customHeight="1">
      <c r="A13" s="4" t="inlineStr">
        <is>
          <t>/Users/leonidpofa/VSCodeHruchevoPY/quant/Excel_automation/research/microsoft_fy2025/financials.csv</t>
        </is>
      </c>
      <c r="B13" s="4" t="n"/>
      <c r="C13" s="4" t="n">
        <v>4</v>
      </c>
      <c r="D13" s="4" t="inlineStr">
        <is>
          <t>capex</t>
        </is>
      </c>
      <c r="E13" s="4" t="inlineStr">
        <is>
          <t>row 4, column capex</t>
        </is>
      </c>
      <c r="F13" s="4" t="inlineStr">
        <is>
          <t>capex</t>
        </is>
      </c>
      <c r="G13" s="4" t="n">
        <v>2025</v>
      </c>
      <c r="H13" s="4" t="inlineStr">
        <is>
          <t>FY</t>
        </is>
      </c>
      <c r="I13" s="4" t="inlineStr">
        <is>
          <t>consolidated</t>
        </is>
      </c>
      <c r="J13" s="4" t="inlineStr">
        <is>
          <t>USD</t>
        </is>
      </c>
      <c r="K13" s="4" t="inlineStr">
        <is>
          <t>64551</t>
        </is>
      </c>
      <c r="L13" s="4" t="inlineStr">
        <is>
          <t>millions</t>
        </is>
      </c>
      <c r="M13" s="4" t="inlineStr">
        <is>
          <t>64551000000</t>
        </is>
      </c>
      <c r="N13" s="4" t="inlineStr">
        <is>
          <t>USD</t>
        </is>
      </c>
      <c r="O13" s="4" t="inlineStr">
        <is>
          <t>reported</t>
        </is>
      </c>
      <c r="P13" s="4" t="inlineStr">
        <is>
          <t>Inputs!C18</t>
        </is>
      </c>
      <c r="Q13" s="4" t="inlineStr">
        <is>
          <t>free_cash_flow, fcf_margin</t>
        </is>
      </c>
    </row>
    <row r="14" ht="66" customHeight="1">
      <c r="A14" s="4" t="inlineStr">
        <is>
          <t>/Users/leonidpofa/VSCodeHruchevoPY/quant/Excel_automation/research/microsoft_fy2025/financials.csv</t>
        </is>
      </c>
      <c r="B14" s="4" t="n"/>
      <c r="C14" s="4" t="n">
        <v>2</v>
      </c>
      <c r="D14" s="4" t="inlineStr">
        <is>
          <t>cash_and_equivalents</t>
        </is>
      </c>
      <c r="E14" s="4" t="inlineStr">
        <is>
          <t>row 2, column cash_and_equivalents</t>
        </is>
      </c>
      <c r="F14" s="4" t="inlineStr">
        <is>
          <t>cash_and_equivalents</t>
        </is>
      </c>
      <c r="G14" s="4" t="n">
        <v>2023</v>
      </c>
      <c r="H14" s="4" t="inlineStr">
        <is>
          <t>FY</t>
        </is>
      </c>
      <c r="I14" s="4" t="inlineStr">
        <is>
          <t>consolidated</t>
        </is>
      </c>
      <c r="J14" s="4" t="inlineStr">
        <is>
          <t>USD</t>
        </is>
      </c>
      <c r="K14" s="4" t="inlineStr">
        <is>
          <t>34704</t>
        </is>
      </c>
      <c r="L14" s="4" t="inlineStr">
        <is>
          <t>millions</t>
        </is>
      </c>
      <c r="M14" s="4" t="inlineStr">
        <is>
          <t>34704000000</t>
        </is>
      </c>
      <c r="N14" s="4" t="inlineStr">
        <is>
          <t>USD</t>
        </is>
      </c>
      <c r="O14" s="4" t="inlineStr">
        <is>
          <t>reported</t>
        </is>
      </c>
      <c r="P14" s="4" t="n"/>
      <c r="Q14" s="4" t="inlineStr"/>
    </row>
    <row r="15" ht="66" customHeight="1">
      <c r="A15" s="4" t="inlineStr">
        <is>
          <t>/Users/leonidpofa/VSCodeHruchevoPY/quant/Excel_automation/research/microsoft_fy2025/financials.csv</t>
        </is>
      </c>
      <c r="B15" s="4" t="n"/>
      <c r="C15" s="4" t="n">
        <v>3</v>
      </c>
      <c r="D15" s="4" t="inlineStr">
        <is>
          <t>cash_and_equivalents</t>
        </is>
      </c>
      <c r="E15" s="4" t="inlineStr">
        <is>
          <t>row 3, column cash_and_equivalents</t>
        </is>
      </c>
      <c r="F15" s="4" t="inlineStr">
        <is>
          <t>cash_and_equivalents</t>
        </is>
      </c>
      <c r="G15" s="4" t="n">
        <v>2024</v>
      </c>
      <c r="H15" s="4" t="inlineStr">
        <is>
          <t>FY</t>
        </is>
      </c>
      <c r="I15" s="4" t="inlineStr">
        <is>
          <t>consolidated</t>
        </is>
      </c>
      <c r="J15" s="4" t="inlineStr">
        <is>
          <t>USD</t>
        </is>
      </c>
      <c r="K15" s="4" t="inlineStr">
        <is>
          <t>18315</t>
        </is>
      </c>
      <c r="L15" s="4" t="inlineStr">
        <is>
          <t>millions</t>
        </is>
      </c>
      <c r="M15" s="4" t="inlineStr">
        <is>
          <t>18315000000</t>
        </is>
      </c>
      <c r="N15" s="4" t="inlineStr">
        <is>
          <t>USD</t>
        </is>
      </c>
      <c r="O15" s="4" t="inlineStr">
        <is>
          <t>reported</t>
        </is>
      </c>
      <c r="P15" s="4" t="inlineStr">
        <is>
          <t>Inputs!B10</t>
        </is>
      </c>
      <c r="Q15" s="4" t="inlineStr">
        <is>
          <t>net_leverage_trend</t>
        </is>
      </c>
    </row>
    <row r="16" ht="66" customHeight="1">
      <c r="A16" s="4" t="inlineStr">
        <is>
          <t>/Users/leonidpofa/VSCodeHruchevoPY/quant/Excel_automation/research/microsoft_fy2025/financials.csv</t>
        </is>
      </c>
      <c r="B16" s="4" t="n"/>
      <c r="C16" s="4" t="n">
        <v>4</v>
      </c>
      <c r="D16" s="4" t="inlineStr">
        <is>
          <t>cash_and_equivalents</t>
        </is>
      </c>
      <c r="E16" s="4" t="inlineStr">
        <is>
          <t>row 4, column cash_and_equivalents</t>
        </is>
      </c>
      <c r="F16" s="4" t="inlineStr">
        <is>
          <t>cash_and_equivalents</t>
        </is>
      </c>
      <c r="G16" s="4" t="n">
        <v>2025</v>
      </c>
      <c r="H16" s="4" t="inlineStr">
        <is>
          <t>FY</t>
        </is>
      </c>
      <c r="I16" s="4" t="inlineStr">
        <is>
          <t>consolidated</t>
        </is>
      </c>
      <c r="J16" s="4" t="inlineStr">
        <is>
          <t>USD</t>
        </is>
      </c>
      <c r="K16" s="4" t="inlineStr">
        <is>
          <t>30242</t>
        </is>
      </c>
      <c r="L16" s="4" t="inlineStr">
        <is>
          <t>millions</t>
        </is>
      </c>
      <c r="M16" s="4" t="inlineStr">
        <is>
          <t>30242000000</t>
        </is>
      </c>
      <c r="N16" s="4" t="inlineStr">
        <is>
          <t>USD</t>
        </is>
      </c>
      <c r="O16" s="4" t="inlineStr">
        <is>
          <t>reported</t>
        </is>
      </c>
      <c r="P16" s="4" t="inlineStr">
        <is>
          <t>Inputs!C10</t>
        </is>
      </c>
      <c r="Q16" s="4" t="inlineStr">
        <is>
          <t>net_debt, net_debt_to_ebitda, enterprise_value, ev_to_revenue, ev_to_ebitda, net_leverage_trend</t>
        </is>
      </c>
    </row>
    <row r="17" ht="66" customHeight="1">
      <c r="A17" s="4" t="inlineStr">
        <is>
          <t>/Users/leonidpofa/VSCodeHruchevoPY/quant/Excel_automation/research/microsoft_fy2025/financials.csv</t>
        </is>
      </c>
      <c r="B17" s="4" t="n"/>
      <c r="C17" s="4" t="n">
        <v>2</v>
      </c>
      <c r="D17" s="4" t="inlineStr">
        <is>
          <t>cash_flow_from_operations</t>
        </is>
      </c>
      <c r="E17" s="4" t="inlineStr">
        <is>
          <t>row 2, column cash_flow_from_operations</t>
        </is>
      </c>
      <c r="F17" s="4" t="inlineStr">
        <is>
          <t>cash_flow_from_operations</t>
        </is>
      </c>
      <c r="G17" s="4" t="n">
        <v>2023</v>
      </c>
      <c r="H17" s="4" t="inlineStr">
        <is>
          <t>FY</t>
        </is>
      </c>
      <c r="I17" s="4" t="inlineStr">
        <is>
          <t>consolidated</t>
        </is>
      </c>
      <c r="J17" s="4" t="inlineStr">
        <is>
          <t>USD</t>
        </is>
      </c>
      <c r="K17" s="4" t="inlineStr">
        <is>
          <t>87582</t>
        </is>
      </c>
      <c r="L17" s="4" t="inlineStr">
        <is>
          <t>millions</t>
        </is>
      </c>
      <c r="M17" s="4" t="inlineStr">
        <is>
          <t>87582000000</t>
        </is>
      </c>
      <c r="N17" s="4" t="inlineStr">
        <is>
          <t>USD</t>
        </is>
      </c>
      <c r="O17" s="4" t="inlineStr">
        <is>
          <t>reported</t>
        </is>
      </c>
      <c r="P17" s="4" t="n"/>
      <c r="Q17" s="4" t="inlineStr"/>
    </row>
    <row r="18" ht="66" customHeight="1">
      <c r="A18" s="4" t="inlineStr">
        <is>
          <t>/Users/leonidpofa/VSCodeHruchevoPY/quant/Excel_automation/research/microsoft_fy2025/financials.csv</t>
        </is>
      </c>
      <c r="B18" s="4" t="n"/>
      <c r="C18" s="4" t="n">
        <v>3</v>
      </c>
      <c r="D18" s="4" t="inlineStr">
        <is>
          <t>cash_flow_from_operations</t>
        </is>
      </c>
      <c r="E18" s="4" t="inlineStr">
        <is>
          <t>row 3, column cash_flow_from_operations</t>
        </is>
      </c>
      <c r="F18" s="4" t="inlineStr">
        <is>
          <t>cash_flow_from_operations</t>
        </is>
      </c>
      <c r="G18" s="4" t="n">
        <v>2024</v>
      </c>
      <c r="H18" s="4" t="inlineStr">
        <is>
          <t>FY</t>
        </is>
      </c>
      <c r="I18" s="4" t="inlineStr">
        <is>
          <t>consolidated</t>
        </is>
      </c>
      <c r="J18" s="4" t="inlineStr">
        <is>
          <t>USD</t>
        </is>
      </c>
      <c r="K18" s="4" t="inlineStr">
        <is>
          <t>118548</t>
        </is>
      </c>
      <c r="L18" s="4" t="inlineStr">
        <is>
          <t>millions</t>
        </is>
      </c>
      <c r="M18" s="4" t="inlineStr">
        <is>
          <t>118548000000</t>
        </is>
      </c>
      <c r="N18" s="4" t="inlineStr">
        <is>
          <t>USD</t>
        </is>
      </c>
      <c r="O18" s="4" t="inlineStr">
        <is>
          <t>reported</t>
        </is>
      </c>
      <c r="P18" s="4" t="inlineStr">
        <is>
          <t>Inputs!B17</t>
        </is>
      </c>
      <c r="Q18" s="4" t="inlineStr"/>
    </row>
    <row r="19" ht="66" customHeight="1">
      <c r="A19" s="4" t="inlineStr">
        <is>
          <t>/Users/leonidpofa/VSCodeHruchevoPY/quant/Excel_automation/research/microsoft_fy2025/financials.csv</t>
        </is>
      </c>
      <c r="B19" s="4" t="n"/>
      <c r="C19" s="4" t="n">
        <v>4</v>
      </c>
      <c r="D19" s="4" t="inlineStr">
        <is>
          <t>cash_flow_from_operations</t>
        </is>
      </c>
      <c r="E19" s="4" t="inlineStr">
        <is>
          <t>row 4, column cash_flow_from_operations</t>
        </is>
      </c>
      <c r="F19" s="4" t="inlineStr">
        <is>
          <t>cash_flow_from_operations</t>
        </is>
      </c>
      <c r="G19" s="4" t="n">
        <v>2025</v>
      </c>
      <c r="H19" s="4" t="inlineStr">
        <is>
          <t>FY</t>
        </is>
      </c>
      <c r="I19" s="4" t="inlineStr">
        <is>
          <t>consolidated</t>
        </is>
      </c>
      <c r="J19" s="4" t="inlineStr">
        <is>
          <t>USD</t>
        </is>
      </c>
      <c r="K19" s="4" t="inlineStr">
        <is>
          <t>136162</t>
        </is>
      </c>
      <c r="L19" s="4" t="inlineStr">
        <is>
          <t>millions</t>
        </is>
      </c>
      <c r="M19" s="4" t="inlineStr">
        <is>
          <t>136162000000</t>
        </is>
      </c>
      <c r="N19" s="4" t="inlineStr">
        <is>
          <t>USD</t>
        </is>
      </c>
      <c r="O19" s="4" t="inlineStr">
        <is>
          <t>reported</t>
        </is>
      </c>
      <c r="P19" s="4" t="inlineStr">
        <is>
          <t>Inputs!C17</t>
        </is>
      </c>
      <c r="Q19" s="4" t="inlineStr">
        <is>
          <t>free_cash_flow, fcf_margin, cash_conversion</t>
        </is>
      </c>
    </row>
    <row r="20" ht="66" customHeight="1">
      <c r="A20" s="4" t="inlineStr">
        <is>
          <t>/Users/leonidpofa/VSCodeHruchevoPY/quant/Excel_automation/research/microsoft_fy2025/financials.csv</t>
        </is>
      </c>
      <c r="B20" s="4" t="n"/>
      <c r="C20" s="4" t="n">
        <v>2</v>
      </c>
      <c r="D20" s="4" t="inlineStr">
        <is>
          <t>cogs</t>
        </is>
      </c>
      <c r="E20" s="4" t="inlineStr">
        <is>
          <t>row 2, column cogs</t>
        </is>
      </c>
      <c r="F20" s="4" t="inlineStr">
        <is>
          <t>cogs</t>
        </is>
      </c>
      <c r="G20" s="4" t="n">
        <v>2023</v>
      </c>
      <c r="H20" s="4" t="inlineStr">
        <is>
          <t>FY</t>
        </is>
      </c>
      <c r="I20" s="4" t="inlineStr">
        <is>
          <t>consolidated</t>
        </is>
      </c>
      <c r="J20" s="4" t="inlineStr">
        <is>
          <t>USD</t>
        </is>
      </c>
      <c r="K20" s="4" t="inlineStr">
        <is>
          <t>65863</t>
        </is>
      </c>
      <c r="L20" s="4" t="inlineStr">
        <is>
          <t>millions</t>
        </is>
      </c>
      <c r="M20" s="4" t="inlineStr">
        <is>
          <t>65863000000</t>
        </is>
      </c>
      <c r="N20" s="4" t="inlineStr">
        <is>
          <t>USD</t>
        </is>
      </c>
      <c r="O20" s="4" t="inlineStr">
        <is>
          <t>reported</t>
        </is>
      </c>
      <c r="P20" s="4" t="n"/>
      <c r="Q20" s="4" t="inlineStr"/>
    </row>
    <row r="21" ht="66" customHeight="1">
      <c r="A21" s="4" t="inlineStr">
        <is>
          <t>/Users/leonidpofa/VSCodeHruchevoPY/quant/Excel_automation/research/microsoft_fy2025/financials.csv</t>
        </is>
      </c>
      <c r="B21" s="4" t="n"/>
      <c r="C21" s="4" t="n">
        <v>3</v>
      </c>
      <c r="D21" s="4" t="inlineStr">
        <is>
          <t>cogs</t>
        </is>
      </c>
      <c r="E21" s="4" t="inlineStr">
        <is>
          <t>row 3, column cogs</t>
        </is>
      </c>
      <c r="F21" s="4" t="inlineStr">
        <is>
          <t>cogs</t>
        </is>
      </c>
      <c r="G21" s="4" t="n">
        <v>2024</v>
      </c>
      <c r="H21" s="4" t="inlineStr">
        <is>
          <t>FY</t>
        </is>
      </c>
      <c r="I21" s="4" t="inlineStr">
        <is>
          <t>consolidated</t>
        </is>
      </c>
      <c r="J21" s="4" t="inlineStr">
        <is>
          <t>USD</t>
        </is>
      </c>
      <c r="K21" s="4" t="inlineStr">
        <is>
          <t>74114</t>
        </is>
      </c>
      <c r="L21" s="4" t="inlineStr">
        <is>
          <t>millions</t>
        </is>
      </c>
      <c r="M21" s="4" t="inlineStr">
        <is>
          <t>74114000000</t>
        </is>
      </c>
      <c r="N21" s="4" t="inlineStr">
        <is>
          <t>USD</t>
        </is>
      </c>
      <c r="O21" s="4" t="inlineStr">
        <is>
          <t>reported</t>
        </is>
      </c>
      <c r="P21" s="4" t="inlineStr">
        <is>
          <t>Inputs!B11</t>
        </is>
      </c>
      <c r="Q21" s="4" t="inlineStr"/>
    </row>
    <row r="22" ht="66" customHeight="1">
      <c r="A22" s="4" t="inlineStr">
        <is>
          <t>/Users/leonidpofa/VSCodeHruchevoPY/quant/Excel_automation/research/microsoft_fy2025/financials.csv</t>
        </is>
      </c>
      <c r="B22" s="4" t="n"/>
      <c r="C22" s="4" t="n">
        <v>4</v>
      </c>
      <c r="D22" s="4" t="inlineStr">
        <is>
          <t>cogs</t>
        </is>
      </c>
      <c r="E22" s="4" t="inlineStr">
        <is>
          <t>row 4, column cogs</t>
        </is>
      </c>
      <c r="F22" s="4" t="inlineStr">
        <is>
          <t>cogs</t>
        </is>
      </c>
      <c r="G22" s="4" t="n">
        <v>2025</v>
      </c>
      <c r="H22" s="4" t="inlineStr">
        <is>
          <t>FY</t>
        </is>
      </c>
      <c r="I22" s="4" t="inlineStr">
        <is>
          <t>consolidated</t>
        </is>
      </c>
      <c r="J22" s="4" t="inlineStr">
        <is>
          <t>USD</t>
        </is>
      </c>
      <c r="K22" s="4" t="inlineStr">
        <is>
          <t>87831</t>
        </is>
      </c>
      <c r="L22" s="4" t="inlineStr">
        <is>
          <t>millions</t>
        </is>
      </c>
      <c r="M22" s="4" t="inlineStr">
        <is>
          <t>87831000000</t>
        </is>
      </c>
      <c r="N22" s="4" t="inlineStr">
        <is>
          <t>USD</t>
        </is>
      </c>
      <c r="O22" s="4" t="inlineStr">
        <is>
          <t>reported</t>
        </is>
      </c>
      <c r="P22" s="4" t="inlineStr">
        <is>
          <t>Inputs!C11</t>
        </is>
      </c>
      <c r="Q22" s="4" t="inlineStr">
        <is>
          <t>dio, dpo, cash_conversion_cycle</t>
        </is>
      </c>
    </row>
    <row r="23" ht="66" customHeight="1">
      <c r="A23" s="4" t="inlineStr">
        <is>
          <t>/Users/leonidpofa/VSCodeHruchevoPY/quant/Excel_automation/research/microsoft_fy2025/financials.csv</t>
        </is>
      </c>
      <c r="B23" s="4" t="n"/>
      <c r="C23" s="4" t="n">
        <v>2</v>
      </c>
      <c r="D23" s="4" t="inlineStr">
        <is>
          <t>current_assets</t>
        </is>
      </c>
      <c r="E23" s="4" t="inlineStr">
        <is>
          <t>row 2, column current_assets</t>
        </is>
      </c>
      <c r="F23" s="4" t="inlineStr">
        <is>
          <t>current_assets</t>
        </is>
      </c>
      <c r="G23" s="4" t="n">
        <v>2023</v>
      </c>
      <c r="H23" s="4" t="inlineStr">
        <is>
          <t>FY</t>
        </is>
      </c>
      <c r="I23" s="4" t="inlineStr">
        <is>
          <t>consolidated</t>
        </is>
      </c>
      <c r="J23" s="4" t="inlineStr">
        <is>
          <t>USD</t>
        </is>
      </c>
      <c r="K23" s="4" t="inlineStr"/>
      <c r="L23" s="4" t="inlineStr">
        <is>
          <t>millions</t>
        </is>
      </c>
      <c r="M23" s="4" t="n"/>
      <c r="N23" s="4" t="inlineStr">
        <is>
          <t>USD</t>
        </is>
      </c>
      <c r="O23" s="4" t="inlineStr">
        <is>
          <t>missing</t>
        </is>
      </c>
      <c r="P23" s="4" t="n"/>
      <c r="Q23" s="4" t="inlineStr"/>
    </row>
    <row r="24" ht="66" customHeight="1">
      <c r="A24" s="4" t="inlineStr">
        <is>
          <t>/Users/leonidpofa/VSCodeHruchevoPY/quant/Excel_automation/research/microsoft_fy2025/financials.csv</t>
        </is>
      </c>
      <c r="B24" s="4" t="n"/>
      <c r="C24" s="4" t="n">
        <v>3</v>
      </c>
      <c r="D24" s="4" t="inlineStr">
        <is>
          <t>current_assets</t>
        </is>
      </c>
      <c r="E24" s="4" t="inlineStr">
        <is>
          <t>row 3, column current_assets</t>
        </is>
      </c>
      <c r="F24" s="4" t="inlineStr">
        <is>
          <t>current_assets</t>
        </is>
      </c>
      <c r="G24" s="4" t="n">
        <v>2024</v>
      </c>
      <c r="H24" s="4" t="inlineStr">
        <is>
          <t>FY</t>
        </is>
      </c>
      <c r="I24" s="4" t="inlineStr">
        <is>
          <t>consolidated</t>
        </is>
      </c>
      <c r="J24" s="4" t="inlineStr">
        <is>
          <t>USD</t>
        </is>
      </c>
      <c r="K24" s="4" t="inlineStr">
        <is>
          <t>159734</t>
        </is>
      </c>
      <c r="L24" s="4" t="inlineStr">
        <is>
          <t>millions</t>
        </is>
      </c>
      <c r="M24" s="4" t="inlineStr">
        <is>
          <t>159734000000</t>
        </is>
      </c>
      <c r="N24" s="4" t="inlineStr">
        <is>
          <t>USD</t>
        </is>
      </c>
      <c r="O24" s="4" t="inlineStr">
        <is>
          <t>reported</t>
        </is>
      </c>
      <c r="P24" s="4" t="inlineStr">
        <is>
          <t>Inputs!B22</t>
        </is>
      </c>
      <c r="Q24" s="4" t="inlineStr"/>
    </row>
    <row r="25" ht="66" customHeight="1">
      <c r="A25" s="4" t="inlineStr">
        <is>
          <t>/Users/leonidpofa/VSCodeHruchevoPY/quant/Excel_automation/research/microsoft_fy2025/financials.csv</t>
        </is>
      </c>
      <c r="B25" s="4" t="n"/>
      <c r="C25" s="4" t="n">
        <v>4</v>
      </c>
      <c r="D25" s="4" t="inlineStr">
        <is>
          <t>current_assets</t>
        </is>
      </c>
      <c r="E25" s="4" t="inlineStr">
        <is>
          <t>row 4, column current_assets</t>
        </is>
      </c>
      <c r="F25" s="4" t="inlineStr">
        <is>
          <t>current_assets</t>
        </is>
      </c>
      <c r="G25" s="4" t="n">
        <v>2025</v>
      </c>
      <c r="H25" s="4" t="inlineStr">
        <is>
          <t>FY</t>
        </is>
      </c>
      <c r="I25" s="4" t="inlineStr">
        <is>
          <t>consolidated</t>
        </is>
      </c>
      <c r="J25" s="4" t="inlineStr">
        <is>
          <t>USD</t>
        </is>
      </c>
      <c r="K25" s="4" t="inlineStr">
        <is>
          <t>191131</t>
        </is>
      </c>
      <c r="L25" s="4" t="inlineStr">
        <is>
          <t>millions</t>
        </is>
      </c>
      <c r="M25" s="4" t="inlineStr">
        <is>
          <t>191131000000</t>
        </is>
      </c>
      <c r="N25" s="4" t="inlineStr">
        <is>
          <t>USD</t>
        </is>
      </c>
      <c r="O25" s="4" t="inlineStr">
        <is>
          <t>reported</t>
        </is>
      </c>
      <c r="P25" s="4" t="inlineStr">
        <is>
          <t>Inputs!C22</t>
        </is>
      </c>
      <c r="Q25" s="4" t="inlineStr">
        <is>
          <t>current_ratio, quick_ratio</t>
        </is>
      </c>
    </row>
    <row r="26" ht="66" customHeight="1">
      <c r="A26" s="4" t="inlineStr">
        <is>
          <t>/Users/leonidpofa/VSCodeHruchevoPY/quant/Excel_automation/research/microsoft_fy2025/financials.csv</t>
        </is>
      </c>
      <c r="B26" s="4" t="n"/>
      <c r="C26" s="4" t="n">
        <v>2</v>
      </c>
      <c r="D26" s="4" t="inlineStr">
        <is>
          <t>current_liabilities</t>
        </is>
      </c>
      <c r="E26" s="4" t="inlineStr">
        <is>
          <t>row 2, column current_liabilities</t>
        </is>
      </c>
      <c r="F26" s="4" t="inlineStr">
        <is>
          <t>current_liabilities</t>
        </is>
      </c>
      <c r="G26" s="4" t="n">
        <v>2023</v>
      </c>
      <c r="H26" s="4" t="inlineStr">
        <is>
          <t>FY</t>
        </is>
      </c>
      <c r="I26" s="4" t="inlineStr">
        <is>
          <t>consolidated</t>
        </is>
      </c>
      <c r="J26" s="4" t="inlineStr">
        <is>
          <t>USD</t>
        </is>
      </c>
      <c r="K26" s="4" t="inlineStr"/>
      <c r="L26" s="4" t="inlineStr">
        <is>
          <t>millions</t>
        </is>
      </c>
      <c r="M26" s="4" t="n"/>
      <c r="N26" s="4" t="inlineStr">
        <is>
          <t>USD</t>
        </is>
      </c>
      <c r="O26" s="4" t="inlineStr">
        <is>
          <t>missing</t>
        </is>
      </c>
      <c r="P26" s="4" t="n"/>
      <c r="Q26" s="4" t="inlineStr"/>
    </row>
    <row r="27" ht="66" customHeight="1">
      <c r="A27" s="4" t="inlineStr">
        <is>
          <t>/Users/leonidpofa/VSCodeHruchevoPY/quant/Excel_automation/research/microsoft_fy2025/financials.csv</t>
        </is>
      </c>
      <c r="B27" s="4" t="n"/>
      <c r="C27" s="4" t="n">
        <v>3</v>
      </c>
      <c r="D27" s="4" t="inlineStr">
        <is>
          <t>current_liabilities</t>
        </is>
      </c>
      <c r="E27" s="4" t="inlineStr">
        <is>
          <t>row 3, column current_liabilities</t>
        </is>
      </c>
      <c r="F27" s="4" t="inlineStr">
        <is>
          <t>current_liabilities</t>
        </is>
      </c>
      <c r="G27" s="4" t="n">
        <v>2024</v>
      </c>
      <c r="H27" s="4" t="inlineStr">
        <is>
          <t>FY</t>
        </is>
      </c>
      <c r="I27" s="4" t="inlineStr">
        <is>
          <t>consolidated</t>
        </is>
      </c>
      <c r="J27" s="4" t="inlineStr">
        <is>
          <t>USD</t>
        </is>
      </c>
      <c r="K27" s="4" t="inlineStr">
        <is>
          <t>125286</t>
        </is>
      </c>
      <c r="L27" s="4" t="inlineStr">
        <is>
          <t>millions</t>
        </is>
      </c>
      <c r="M27" s="4" t="inlineStr">
        <is>
          <t>125286000000</t>
        </is>
      </c>
      <c r="N27" s="4" t="inlineStr">
        <is>
          <t>USD</t>
        </is>
      </c>
      <c r="O27" s="4" t="inlineStr">
        <is>
          <t>reported</t>
        </is>
      </c>
      <c r="P27" s="4" t="inlineStr">
        <is>
          <t>Inputs!B23</t>
        </is>
      </c>
      <c r="Q27" s="4" t="inlineStr"/>
    </row>
    <row r="28" ht="66" customHeight="1">
      <c r="A28" s="4" t="inlineStr">
        <is>
          <t>/Users/leonidpofa/VSCodeHruchevoPY/quant/Excel_automation/research/microsoft_fy2025/financials.csv</t>
        </is>
      </c>
      <c r="B28" s="4" t="n"/>
      <c r="C28" s="4" t="n">
        <v>4</v>
      </c>
      <c r="D28" s="4" t="inlineStr">
        <is>
          <t>current_liabilities</t>
        </is>
      </c>
      <c r="E28" s="4" t="inlineStr">
        <is>
          <t>row 4, column current_liabilities</t>
        </is>
      </c>
      <c r="F28" s="4" t="inlineStr">
        <is>
          <t>current_liabilities</t>
        </is>
      </c>
      <c r="G28" s="4" t="n">
        <v>2025</v>
      </c>
      <c r="H28" s="4" t="inlineStr">
        <is>
          <t>FY</t>
        </is>
      </c>
      <c r="I28" s="4" t="inlineStr">
        <is>
          <t>consolidated</t>
        </is>
      </c>
      <c r="J28" s="4" t="inlineStr">
        <is>
          <t>USD</t>
        </is>
      </c>
      <c r="K28" s="4" t="inlineStr">
        <is>
          <t>141218</t>
        </is>
      </c>
      <c r="L28" s="4" t="inlineStr">
        <is>
          <t>millions</t>
        </is>
      </c>
      <c r="M28" s="4" t="inlineStr">
        <is>
          <t>141218000000</t>
        </is>
      </c>
      <c r="N28" s="4" t="inlineStr">
        <is>
          <t>USD</t>
        </is>
      </c>
      <c r="O28" s="4" t="inlineStr">
        <is>
          <t>reported</t>
        </is>
      </c>
      <c r="P28" s="4" t="inlineStr">
        <is>
          <t>Inputs!C23</t>
        </is>
      </c>
      <c r="Q28" s="4" t="inlineStr">
        <is>
          <t>current_ratio, quick_ratio</t>
        </is>
      </c>
    </row>
    <row r="29" ht="66" customHeight="1">
      <c r="A29" s="4" t="inlineStr">
        <is>
          <t>/Users/leonidpofa/VSCodeHruchevoPY/quant/Excel_automation/research/microsoft_fy2025/financials.csv</t>
        </is>
      </c>
      <c r="B29" s="4" t="n"/>
      <c r="C29" s="4" t="n">
        <v>2</v>
      </c>
      <c r="D29" s="4" t="inlineStr">
        <is>
          <t>dividends_paid</t>
        </is>
      </c>
      <c r="E29" s="4" t="inlineStr">
        <is>
          <t>row 2, column dividends_paid</t>
        </is>
      </c>
      <c r="F29" s="4" t="inlineStr">
        <is>
          <t>dividends_paid</t>
        </is>
      </c>
      <c r="G29" s="4" t="n">
        <v>2023</v>
      </c>
      <c r="H29" s="4" t="inlineStr">
        <is>
          <t>FY</t>
        </is>
      </c>
      <c r="I29" s="4" t="inlineStr">
        <is>
          <t>consolidated</t>
        </is>
      </c>
      <c r="J29" s="4" t="inlineStr">
        <is>
          <t>USD</t>
        </is>
      </c>
      <c r="K29" s="4" t="inlineStr">
        <is>
          <t>19800</t>
        </is>
      </c>
      <c r="L29" s="4" t="inlineStr">
        <is>
          <t>millions</t>
        </is>
      </c>
      <c r="M29" s="4" t="inlineStr">
        <is>
          <t>19800000000</t>
        </is>
      </c>
      <c r="N29" s="4" t="inlineStr">
        <is>
          <t>USD</t>
        </is>
      </c>
      <c r="O29" s="4" t="inlineStr">
        <is>
          <t>reported</t>
        </is>
      </c>
      <c r="P29" s="4" t="n"/>
      <c r="Q29" s="4" t="inlineStr"/>
    </row>
    <row r="30" ht="66" customHeight="1">
      <c r="A30" s="4" t="inlineStr">
        <is>
          <t>/Users/leonidpofa/VSCodeHruchevoPY/quant/Excel_automation/research/microsoft_fy2025/financials.csv</t>
        </is>
      </c>
      <c r="B30" s="4" t="n"/>
      <c r="C30" s="4" t="n">
        <v>3</v>
      </c>
      <c r="D30" s="4" t="inlineStr">
        <is>
          <t>dividends_paid</t>
        </is>
      </c>
      <c r="E30" s="4" t="inlineStr">
        <is>
          <t>row 3, column dividends_paid</t>
        </is>
      </c>
      <c r="F30" s="4" t="inlineStr">
        <is>
          <t>dividends_paid</t>
        </is>
      </c>
      <c r="G30" s="4" t="n">
        <v>2024</v>
      </c>
      <c r="H30" s="4" t="inlineStr">
        <is>
          <t>FY</t>
        </is>
      </c>
      <c r="I30" s="4" t="inlineStr">
        <is>
          <t>consolidated</t>
        </is>
      </c>
      <c r="J30" s="4" t="inlineStr">
        <is>
          <t>USD</t>
        </is>
      </c>
      <c r="K30" s="4" t="inlineStr">
        <is>
          <t>21771</t>
        </is>
      </c>
      <c r="L30" s="4" t="inlineStr">
        <is>
          <t>millions</t>
        </is>
      </c>
      <c r="M30" s="4" t="inlineStr">
        <is>
          <t>21771000000</t>
        </is>
      </c>
      <c r="N30" s="4" t="inlineStr">
        <is>
          <t>USD</t>
        </is>
      </c>
      <c r="O30" s="4" t="inlineStr">
        <is>
          <t>reported</t>
        </is>
      </c>
      <c r="P30" s="4" t="inlineStr">
        <is>
          <t>Inputs!B19</t>
        </is>
      </c>
      <c r="Q30" s="4" t="inlineStr"/>
    </row>
    <row r="31" ht="66" customHeight="1">
      <c r="A31" s="4" t="inlineStr">
        <is>
          <t>/Users/leonidpofa/VSCodeHruchevoPY/quant/Excel_automation/research/microsoft_fy2025/financials.csv</t>
        </is>
      </c>
      <c r="B31" s="4" t="n"/>
      <c r="C31" s="4" t="n">
        <v>4</v>
      </c>
      <c r="D31" s="4" t="inlineStr">
        <is>
          <t>dividends_paid</t>
        </is>
      </c>
      <c r="E31" s="4" t="inlineStr">
        <is>
          <t>row 4, column dividends_paid</t>
        </is>
      </c>
      <c r="F31" s="4" t="inlineStr">
        <is>
          <t>dividends_paid</t>
        </is>
      </c>
      <c r="G31" s="4" t="n">
        <v>2025</v>
      </c>
      <c r="H31" s="4" t="inlineStr">
        <is>
          <t>FY</t>
        </is>
      </c>
      <c r="I31" s="4" t="inlineStr">
        <is>
          <t>consolidated</t>
        </is>
      </c>
      <c r="J31" s="4" t="inlineStr">
        <is>
          <t>USD</t>
        </is>
      </c>
      <c r="K31" s="4" t="inlineStr">
        <is>
          <t>24082</t>
        </is>
      </c>
      <c r="L31" s="4" t="inlineStr">
        <is>
          <t>millions</t>
        </is>
      </c>
      <c r="M31" s="4" t="inlineStr">
        <is>
          <t>24082000000</t>
        </is>
      </c>
      <c r="N31" s="4" t="inlineStr">
        <is>
          <t>USD</t>
        </is>
      </c>
      <c r="O31" s="4" t="inlineStr">
        <is>
          <t>reported</t>
        </is>
      </c>
      <c r="P31" s="4" t="inlineStr">
        <is>
          <t>Inputs!C19</t>
        </is>
      </c>
      <c r="Q31" s="4" t="inlineStr"/>
    </row>
    <row r="32" ht="66" customHeight="1">
      <c r="A32" s="4" t="inlineStr">
        <is>
          <t>/Users/leonidpofa/VSCodeHruchevoPY/quant/Excel_automation/research/microsoft_fy2025/financials.csv</t>
        </is>
      </c>
      <c r="B32" s="4" t="n"/>
      <c r="C32" s="4" t="n">
        <v>2</v>
      </c>
      <c r="D32" s="4" t="inlineStr">
        <is>
          <t>ebit</t>
        </is>
      </c>
      <c r="E32" s="4" t="inlineStr">
        <is>
          <t>row 2, column ebit</t>
        </is>
      </c>
      <c r="F32" s="4" t="inlineStr">
        <is>
          <t>ebit</t>
        </is>
      </c>
      <c r="G32" s="4" t="n">
        <v>2023</v>
      </c>
      <c r="H32" s="4" t="inlineStr">
        <is>
          <t>FY</t>
        </is>
      </c>
      <c r="I32" s="4" t="inlineStr">
        <is>
          <t>consolidated</t>
        </is>
      </c>
      <c r="J32" s="4" t="inlineStr">
        <is>
          <t>USD</t>
        </is>
      </c>
      <c r="K32" s="4" t="inlineStr">
        <is>
          <t>88523</t>
        </is>
      </c>
      <c r="L32" s="4" t="inlineStr">
        <is>
          <t>millions</t>
        </is>
      </c>
      <c r="M32" s="4" t="inlineStr">
        <is>
          <t>88523000000</t>
        </is>
      </c>
      <c r="N32" s="4" t="inlineStr">
        <is>
          <t>USD</t>
        </is>
      </c>
      <c r="O32" s="4" t="inlineStr">
        <is>
          <t>reported</t>
        </is>
      </c>
      <c r="P32" s="4" t="n"/>
      <c r="Q32" s="4" t="inlineStr"/>
    </row>
    <row r="33" ht="66" customHeight="1">
      <c r="A33" s="4" t="inlineStr">
        <is>
          <t>/Users/leonidpofa/VSCodeHruchevoPY/quant/Excel_automation/research/microsoft_fy2025/financials.csv</t>
        </is>
      </c>
      <c r="B33" s="4" t="n"/>
      <c r="C33" s="4" t="n">
        <v>3</v>
      </c>
      <c r="D33" s="4" t="inlineStr">
        <is>
          <t>ebit</t>
        </is>
      </c>
      <c r="E33" s="4" t="inlineStr">
        <is>
          <t>row 3, column ebit</t>
        </is>
      </c>
      <c r="F33" s="4" t="inlineStr">
        <is>
          <t>ebit</t>
        </is>
      </c>
      <c r="G33" s="4" t="n">
        <v>2024</v>
      </c>
      <c r="H33" s="4" t="inlineStr">
        <is>
          <t>FY</t>
        </is>
      </c>
      <c r="I33" s="4" t="inlineStr">
        <is>
          <t>consolidated</t>
        </is>
      </c>
      <c r="J33" s="4" t="inlineStr">
        <is>
          <t>USD</t>
        </is>
      </c>
      <c r="K33" s="4" t="inlineStr">
        <is>
          <t>109433</t>
        </is>
      </c>
      <c r="L33" s="4" t="inlineStr">
        <is>
          <t>millions</t>
        </is>
      </c>
      <c r="M33" s="4" t="inlineStr">
        <is>
          <t>109433000000</t>
        </is>
      </c>
      <c r="N33" s="4" t="inlineStr">
        <is>
          <t>USD</t>
        </is>
      </c>
      <c r="O33" s="4" t="inlineStr">
        <is>
          <t>reported</t>
        </is>
      </c>
      <c r="P33" s="4" t="inlineStr">
        <is>
          <t>Inputs!B13</t>
        </is>
      </c>
      <c r="Q33" s="4" t="inlineStr"/>
    </row>
    <row r="34" ht="66" customHeight="1">
      <c r="A34" s="4" t="inlineStr">
        <is>
          <t>/Users/leonidpofa/VSCodeHruchevoPY/quant/Excel_automation/research/microsoft_fy2025/financials.csv</t>
        </is>
      </c>
      <c r="B34" s="4" t="n"/>
      <c r="C34" s="4" t="n">
        <v>4</v>
      </c>
      <c r="D34" s="4" t="inlineStr">
        <is>
          <t>ebit</t>
        </is>
      </c>
      <c r="E34" s="4" t="inlineStr">
        <is>
          <t>row 4, column ebit</t>
        </is>
      </c>
      <c r="F34" s="4" t="inlineStr">
        <is>
          <t>ebit</t>
        </is>
      </c>
      <c r="G34" s="4" t="n">
        <v>2025</v>
      </c>
      <c r="H34" s="4" t="inlineStr">
        <is>
          <t>FY</t>
        </is>
      </c>
      <c r="I34" s="4" t="inlineStr">
        <is>
          <t>consolidated</t>
        </is>
      </c>
      <c r="J34" s="4" t="inlineStr">
        <is>
          <t>USD</t>
        </is>
      </c>
      <c r="K34" s="4" t="inlineStr">
        <is>
          <t>128528</t>
        </is>
      </c>
      <c r="L34" s="4" t="inlineStr">
        <is>
          <t>millions</t>
        </is>
      </c>
      <c r="M34" s="4" t="inlineStr">
        <is>
          <t>128528000000</t>
        </is>
      </c>
      <c r="N34" s="4" t="inlineStr">
        <is>
          <t>USD</t>
        </is>
      </c>
      <c r="O34" s="4" t="inlineStr">
        <is>
          <t>reported</t>
        </is>
      </c>
      <c r="P34" s="4" t="inlineStr">
        <is>
          <t>Inputs!C13</t>
        </is>
      </c>
      <c r="Q34" s="4" t="inlineStr">
        <is>
          <t>ebit_margin, interest_coverage</t>
        </is>
      </c>
    </row>
    <row r="35" ht="66" customHeight="1">
      <c r="A35" s="4" t="inlineStr">
        <is>
          <t>/Users/leonidpofa/VSCodeHruchevoPY/quant/Excel_automation/research/microsoft_fy2025/financials.csv</t>
        </is>
      </c>
      <c r="B35" s="4" t="n"/>
      <c r="C35" s="4" t="n">
        <v>2</v>
      </c>
      <c r="D35" s="4" t="inlineStr">
        <is>
          <t>ebit</t>
        </is>
      </c>
      <c r="E35" s="4" t="inlineStr">
        <is>
          <t>row 2, column ebit</t>
        </is>
      </c>
      <c r="F35" s="4" t="inlineStr">
        <is>
          <t>ebitda</t>
        </is>
      </c>
      <c r="G35" s="4" t="n">
        <v>2023</v>
      </c>
      <c r="H35" s="4" t="inlineStr">
        <is>
          <t>FY</t>
        </is>
      </c>
      <c r="I35" s="4" t="inlineStr">
        <is>
          <t>consolidated</t>
        </is>
      </c>
      <c r="J35" s="4" t="inlineStr">
        <is>
          <t>USD</t>
        </is>
      </c>
      <c r="K35" s="4" t="inlineStr">
        <is>
          <t>88523</t>
        </is>
      </c>
      <c r="L35" s="4" t="inlineStr">
        <is>
          <t>millions</t>
        </is>
      </c>
      <c r="M35" s="4" t="inlineStr">
        <is>
          <t>102023000000.0</t>
        </is>
      </c>
      <c r="N35" s="4" t="inlineStr">
        <is>
          <t>USD</t>
        </is>
      </c>
      <c r="O35" s="4" t="inlineStr">
        <is>
          <t>derived_approximate</t>
        </is>
      </c>
      <c r="P35" s="4" t="inlineStr">
        <is>
          <t>Inputs!D8</t>
        </is>
      </c>
      <c r="Q35" s="4" t="inlineStr">
        <is>
          <t>ebitda_cagr</t>
        </is>
      </c>
    </row>
    <row r="36" ht="66" customHeight="1">
      <c r="A36" s="4" t="inlineStr">
        <is>
          <t>/Users/leonidpofa/VSCodeHruchevoPY/quant/Excel_automation/research/microsoft_fy2025/raw/definition_notes_excerpts.txt</t>
        </is>
      </c>
      <c r="B36" s="4" t="n"/>
      <c r="C36" s="4" t="n">
        <v>0</v>
      </c>
      <c r="D36" s="4" t="inlineStr"/>
      <c r="E36" s="4" t="inlineStr">
        <is>
          <t>{'file': 'research/microsoft_fy2025/raw/definition_notes_excerpts.txt', 'line': 53, 'web_extracted_line': 1386}</t>
        </is>
      </c>
      <c r="F36" s="4" t="inlineStr">
        <is>
          <t>ebitda</t>
        </is>
      </c>
      <c r="G36" s="4" t="n">
        <v>2023</v>
      </c>
      <c r="H36" s="4" t="inlineStr">
        <is>
          <t>FY</t>
        </is>
      </c>
      <c r="I36" s="4" t="inlineStr">
        <is>
          <t>consolidated</t>
        </is>
      </c>
      <c r="J36" s="4" t="inlineStr">
        <is>
          <t>USD</t>
        </is>
      </c>
      <c r="K36" s="4" t="inlineStr">
        <is>
          <t>11.0</t>
        </is>
      </c>
      <c r="L36" s="4" t="inlineStr">
        <is>
          <t>billions</t>
        </is>
      </c>
      <c r="M36" s="4" t="inlineStr">
        <is>
          <t>102023000000.0</t>
        </is>
      </c>
      <c r="N36" s="4" t="inlineStr">
        <is>
          <t>USD</t>
        </is>
      </c>
      <c r="O36" s="4" t="inlineStr">
        <is>
          <t>derived_approximate</t>
        </is>
      </c>
      <c r="P36" s="4" t="inlineStr">
        <is>
          <t>Inputs!D8</t>
        </is>
      </c>
      <c r="Q36" s="4" t="inlineStr">
        <is>
          <t>ebitda_cagr</t>
        </is>
      </c>
    </row>
    <row r="37" ht="66" customHeight="1">
      <c r="A37" s="4" t="inlineStr">
        <is>
          <t>/Users/leonidpofa/VSCodeHruchevoPY/quant/Excel_automation/research/microsoft_fy2025/raw/official_report_excerpts.txt</t>
        </is>
      </c>
      <c r="B37" s="4" t="n"/>
      <c r="C37" s="4" t="n">
        <v>0</v>
      </c>
      <c r="D37" s="4" t="inlineStr"/>
      <c r="E37" s="4" t="inlineStr">
        <is>
          <t>{'file': 'research/microsoft_fy2025/raw/official_report_excerpts.txt', 'line': 194, 'web_extracted_line': 1476}</t>
        </is>
      </c>
      <c r="F37" s="4" t="inlineStr">
        <is>
          <t>ebitda</t>
        </is>
      </c>
      <c r="G37" s="4" t="n">
        <v>2023</v>
      </c>
      <c r="H37" s="4" t="inlineStr">
        <is>
          <t>FY</t>
        </is>
      </c>
      <c r="I37" s="4" t="inlineStr">
        <is>
          <t>consolidated</t>
        </is>
      </c>
      <c r="J37" s="4" t="inlineStr">
        <is>
          <t>USD</t>
        </is>
      </c>
      <c r="K37" s="4" t="inlineStr">
        <is>
          <t>2.5</t>
        </is>
      </c>
      <c r="L37" s="4" t="inlineStr">
        <is>
          <t>billions</t>
        </is>
      </c>
      <c r="M37" s="4" t="inlineStr">
        <is>
          <t>102023000000.0</t>
        </is>
      </c>
      <c r="N37" s="4" t="inlineStr">
        <is>
          <t>USD</t>
        </is>
      </c>
      <c r="O37" s="4" t="inlineStr">
        <is>
          <t>derived_approximate</t>
        </is>
      </c>
      <c r="P37" s="4" t="inlineStr">
        <is>
          <t>Inputs!D8</t>
        </is>
      </c>
      <c r="Q37" s="4" t="inlineStr">
        <is>
          <t>ebitda_cagr</t>
        </is>
      </c>
    </row>
    <row r="38" ht="66" customHeight="1">
      <c r="A38" s="4" t="inlineStr">
        <is>
          <t>/Users/leonidpofa/VSCodeHruchevoPY/quant/Excel_automation/research/microsoft_fy2025/financials.csv</t>
        </is>
      </c>
      <c r="B38" s="4" t="n"/>
      <c r="C38" s="4" t="n">
        <v>3</v>
      </c>
      <c r="D38" s="4" t="inlineStr">
        <is>
          <t>ebit</t>
        </is>
      </c>
      <c r="E38" s="4" t="inlineStr">
        <is>
          <t>row 3, column ebit</t>
        </is>
      </c>
      <c r="F38" s="4" t="inlineStr">
        <is>
          <t>ebitda</t>
        </is>
      </c>
      <c r="G38" s="4" t="n">
        <v>2024</v>
      </c>
      <c r="H38" s="4" t="inlineStr">
        <is>
          <t>FY</t>
        </is>
      </c>
      <c r="I38" s="4" t="inlineStr">
        <is>
          <t>consolidated</t>
        </is>
      </c>
      <c r="J38" s="4" t="inlineStr">
        <is>
          <t>USD</t>
        </is>
      </c>
      <c r="K38" s="4" t="inlineStr">
        <is>
          <t>109433</t>
        </is>
      </c>
      <c r="L38" s="4" t="inlineStr">
        <is>
          <t>millions</t>
        </is>
      </c>
      <c r="M38" s="4" t="inlineStr">
        <is>
          <t>129433000000.0</t>
        </is>
      </c>
      <c r="N38" s="4" t="inlineStr">
        <is>
          <t>USD</t>
        </is>
      </c>
      <c r="O38" s="4" t="inlineStr">
        <is>
          <t>derived_approximate</t>
        </is>
      </c>
      <c r="P38" s="4" t="inlineStr">
        <is>
          <t>Inputs!B8</t>
        </is>
      </c>
      <c r="Q38" s="4" t="inlineStr">
        <is>
          <t>net_leverage_trend</t>
        </is>
      </c>
    </row>
    <row r="39" ht="66" customHeight="1">
      <c r="A39" s="4" t="inlineStr">
        <is>
          <t>/Users/leonidpofa/VSCodeHruchevoPY/quant/Excel_automation/research/microsoft_fy2025/raw/definition_notes_excerpts.txt</t>
        </is>
      </c>
      <c r="B39" s="4" t="n"/>
      <c r="C39" s="4" t="n">
        <v>0</v>
      </c>
      <c r="D39" s="4" t="inlineStr"/>
      <c r="E39" s="4" t="inlineStr">
        <is>
          <t>{'file': 'research/microsoft_fy2025/raw/definition_notes_excerpts.txt', 'line': 53, 'web_extracted_line': 1386}</t>
        </is>
      </c>
      <c r="F39" s="4" t="inlineStr">
        <is>
          <t>ebitda</t>
        </is>
      </c>
      <c r="G39" s="4" t="n">
        <v>2024</v>
      </c>
      <c r="H39" s="4" t="inlineStr">
        <is>
          <t>FY</t>
        </is>
      </c>
      <c r="I39" s="4" t="inlineStr">
        <is>
          <t>consolidated</t>
        </is>
      </c>
      <c r="J39" s="4" t="inlineStr">
        <is>
          <t>USD</t>
        </is>
      </c>
      <c r="K39" s="4" t="inlineStr">
        <is>
          <t>15.2</t>
        </is>
      </c>
      <c r="L39" s="4" t="inlineStr">
        <is>
          <t>billions</t>
        </is>
      </c>
      <c r="M39" s="4" t="inlineStr">
        <is>
          <t>129433000000.0</t>
        </is>
      </c>
      <c r="N39" s="4" t="inlineStr">
        <is>
          <t>USD</t>
        </is>
      </c>
      <c r="O39" s="4" t="inlineStr">
        <is>
          <t>derived_approximate</t>
        </is>
      </c>
      <c r="P39" s="4" t="inlineStr">
        <is>
          <t>Inputs!B8</t>
        </is>
      </c>
      <c r="Q39" s="4" t="inlineStr">
        <is>
          <t>net_leverage_trend</t>
        </is>
      </c>
    </row>
    <row r="40" ht="66" customHeight="1">
      <c r="A40" s="4" t="inlineStr">
        <is>
          <t>/Users/leonidpofa/VSCodeHruchevoPY/quant/Excel_automation/research/microsoft_fy2025/raw/official_report_excerpts.txt</t>
        </is>
      </c>
      <c r="B40" s="4" t="n"/>
      <c r="C40" s="4" t="n">
        <v>0</v>
      </c>
      <c r="D40" s="4" t="inlineStr"/>
      <c r="E40" s="4" t="inlineStr">
        <is>
          <t>{'file': 'research/microsoft_fy2025/raw/official_report_excerpts.txt', 'line': 194, 'web_extracted_line': 1476}</t>
        </is>
      </c>
      <c r="F40" s="4" t="inlineStr">
        <is>
          <t>ebitda</t>
        </is>
      </c>
      <c r="G40" s="4" t="n">
        <v>2024</v>
      </c>
      <c r="H40" s="4" t="inlineStr">
        <is>
          <t>FY</t>
        </is>
      </c>
      <c r="I40" s="4" t="inlineStr">
        <is>
          <t>consolidated</t>
        </is>
      </c>
      <c r="J40" s="4" t="inlineStr">
        <is>
          <t>USD</t>
        </is>
      </c>
      <c r="K40" s="4" t="inlineStr">
        <is>
          <t>4.8</t>
        </is>
      </c>
      <c r="L40" s="4" t="inlineStr">
        <is>
          <t>billions</t>
        </is>
      </c>
      <c r="M40" s="4" t="inlineStr">
        <is>
          <t>129433000000.0</t>
        </is>
      </c>
      <c r="N40" s="4" t="inlineStr">
        <is>
          <t>USD</t>
        </is>
      </c>
      <c r="O40" s="4" t="inlineStr">
        <is>
          <t>derived_approximate</t>
        </is>
      </c>
      <c r="P40" s="4" t="inlineStr">
        <is>
          <t>Inputs!B8</t>
        </is>
      </c>
      <c r="Q40" s="4" t="inlineStr">
        <is>
          <t>net_leverage_trend</t>
        </is>
      </c>
    </row>
    <row r="41" ht="66" customHeight="1">
      <c r="A41" s="4" t="inlineStr">
        <is>
          <t>/Users/leonidpofa/VSCodeHruchevoPY/quant/Excel_automation/research/microsoft_fy2025/financials.csv</t>
        </is>
      </c>
      <c r="B41" s="4" t="n"/>
      <c r="C41" s="4" t="n">
        <v>4</v>
      </c>
      <c r="D41" s="4" t="inlineStr">
        <is>
          <t>ebit</t>
        </is>
      </c>
      <c r="E41" s="4" t="inlineStr">
        <is>
          <t>row 4, column ebit</t>
        </is>
      </c>
      <c r="F41" s="4" t="inlineStr">
        <is>
          <t>ebitda</t>
        </is>
      </c>
      <c r="G41" s="4" t="n">
        <v>2025</v>
      </c>
      <c r="H41" s="4" t="inlineStr">
        <is>
          <t>FY</t>
        </is>
      </c>
      <c r="I41" s="4" t="inlineStr">
        <is>
          <t>consolidated</t>
        </is>
      </c>
      <c r="J41" s="4" t="inlineStr">
        <is>
          <t>USD</t>
        </is>
      </c>
      <c r="K41" s="4" t="inlineStr">
        <is>
          <t>128528</t>
        </is>
      </c>
      <c r="L41" s="4" t="inlineStr">
        <is>
          <t>millions</t>
        </is>
      </c>
      <c r="M41" s="4" t="inlineStr">
        <is>
          <t>156528000000.0</t>
        </is>
      </c>
      <c r="N41" s="4" t="inlineStr">
        <is>
          <t>USD</t>
        </is>
      </c>
      <c r="O41" s="4" t="inlineStr">
        <is>
          <t>derived_approximate</t>
        </is>
      </c>
      <c r="P41" s="4" t="inlineStr">
        <is>
          <t>Inputs!C8</t>
        </is>
      </c>
      <c r="Q41" s="4" t="inlineStr">
        <is>
          <t>ebitda_margin, net_debt_to_ebitda, ev_to_ebitda, ebitda_cagr, net_leverage_trend, cash_conversion</t>
        </is>
      </c>
    </row>
    <row r="42" ht="66" customHeight="1">
      <c r="A42" s="4" t="inlineStr">
        <is>
          <t>/Users/leonidpofa/VSCodeHruchevoPY/quant/Excel_automation/research/microsoft_fy2025/raw/definition_notes_excerpts.txt</t>
        </is>
      </c>
      <c r="B42" s="4" t="n"/>
      <c r="C42" s="4" t="n">
        <v>0</v>
      </c>
      <c r="D42" s="4" t="inlineStr"/>
      <c r="E42" s="4" t="inlineStr">
        <is>
          <t>{'file': 'research/microsoft_fy2025/raw/definition_notes_excerpts.txt', 'line': 53, 'web_extracted_line': 1386}</t>
        </is>
      </c>
      <c r="F42" s="4" t="inlineStr">
        <is>
          <t>ebitda</t>
        </is>
      </c>
      <c r="G42" s="4" t="n">
        <v>2025</v>
      </c>
      <c r="H42" s="4" t="inlineStr">
        <is>
          <t>FY</t>
        </is>
      </c>
      <c r="I42" s="4" t="inlineStr">
        <is>
          <t>consolidated</t>
        </is>
      </c>
      <c r="J42" s="4" t="inlineStr">
        <is>
          <t>USD</t>
        </is>
      </c>
      <c r="K42" s="4" t="inlineStr">
        <is>
          <t>22.0</t>
        </is>
      </c>
      <c r="L42" s="4" t="inlineStr">
        <is>
          <t>billions</t>
        </is>
      </c>
      <c r="M42" s="4" t="inlineStr">
        <is>
          <t>156528000000.0</t>
        </is>
      </c>
      <c r="N42" s="4" t="inlineStr">
        <is>
          <t>USD</t>
        </is>
      </c>
      <c r="O42" s="4" t="inlineStr">
        <is>
          <t>derived_approximate</t>
        </is>
      </c>
      <c r="P42" s="4" t="inlineStr">
        <is>
          <t>Inputs!C8</t>
        </is>
      </c>
      <c r="Q42" s="4" t="inlineStr">
        <is>
          <t>ebitda_margin, net_debt_to_ebitda, ev_to_ebitda, ebitda_cagr, net_leverage_trend, cash_conversion</t>
        </is>
      </c>
    </row>
    <row r="43" ht="66" customHeight="1">
      <c r="A43" s="4" t="inlineStr">
        <is>
          <t>/Users/leonidpofa/VSCodeHruchevoPY/quant/Excel_automation/research/microsoft_fy2025/raw/official_report_excerpts.txt</t>
        </is>
      </c>
      <c r="B43" s="4" t="n"/>
      <c r="C43" s="4" t="n">
        <v>0</v>
      </c>
      <c r="D43" s="4" t="inlineStr"/>
      <c r="E43" s="4" t="inlineStr">
        <is>
          <t>{'file': 'research/microsoft_fy2025/raw/official_report_excerpts.txt', 'line': 194, 'web_extracted_line': 1476}</t>
        </is>
      </c>
      <c r="F43" s="4" t="inlineStr">
        <is>
          <t>ebitda</t>
        </is>
      </c>
      <c r="G43" s="4" t="n">
        <v>2025</v>
      </c>
      <c r="H43" s="4" t="inlineStr">
        <is>
          <t>FY</t>
        </is>
      </c>
      <c r="I43" s="4" t="inlineStr">
        <is>
          <t>consolidated</t>
        </is>
      </c>
      <c r="J43" s="4" t="inlineStr">
        <is>
          <t>USD</t>
        </is>
      </c>
      <c r="K43" s="4" t="inlineStr">
        <is>
          <t>6.0</t>
        </is>
      </c>
      <c r="L43" s="4" t="inlineStr">
        <is>
          <t>billions</t>
        </is>
      </c>
      <c r="M43" s="4" t="inlineStr">
        <is>
          <t>156528000000.0</t>
        </is>
      </c>
      <c r="N43" s="4" t="inlineStr">
        <is>
          <t>USD</t>
        </is>
      </c>
      <c r="O43" s="4" t="inlineStr">
        <is>
          <t>derived_approximate</t>
        </is>
      </c>
      <c r="P43" s="4" t="inlineStr">
        <is>
          <t>Inputs!C8</t>
        </is>
      </c>
      <c r="Q43" s="4" t="inlineStr">
        <is>
          <t>ebitda_margin, net_debt_to_ebitda, ev_to_ebitda, ebitda_cagr, net_leverage_trend, cash_conversion</t>
        </is>
      </c>
    </row>
    <row r="44" ht="66" customHeight="1">
      <c r="A44" s="4" t="inlineStr">
        <is>
          <t>/Users/leonidpofa/VSCodeHruchevoPY/quant/Excel_automation/research/microsoft_fy2025/financials.csv</t>
        </is>
      </c>
      <c r="B44" s="4" t="n"/>
      <c r="C44" s="4" t="n">
        <v>2</v>
      </c>
      <c r="D44" s="4" t="inlineStr">
        <is>
          <t>equity_beta</t>
        </is>
      </c>
      <c r="E44" s="4" t="inlineStr">
        <is>
          <t>row 2, column equity_beta</t>
        </is>
      </c>
      <c r="F44" s="4" t="inlineStr">
        <is>
          <t>equity_beta</t>
        </is>
      </c>
      <c r="G44" s="4" t="n">
        <v>2023</v>
      </c>
      <c r="H44" s="4" t="inlineStr">
        <is>
          <t>FY</t>
        </is>
      </c>
      <c r="I44" s="4" t="inlineStr">
        <is>
          <t>consolidated</t>
        </is>
      </c>
      <c r="J44" s="4" t="inlineStr">
        <is>
          <t>USD</t>
        </is>
      </c>
      <c r="K44" s="4" t="inlineStr">
        <is>
          <t>unavailable</t>
        </is>
      </c>
      <c r="L44" s="4" t="inlineStr">
        <is>
          <t>ratio</t>
        </is>
      </c>
      <c r="M44" s="4" t="n"/>
      <c r="N44" s="4" t="inlineStr">
        <is>
          <t>ratio</t>
        </is>
      </c>
      <c r="O44" s="4" t="inlineStr">
        <is>
          <t>unavailable</t>
        </is>
      </c>
      <c r="P44" s="4" t="n"/>
      <c r="Q44" s="4" t="inlineStr"/>
    </row>
    <row r="45" ht="66" customHeight="1">
      <c r="A45" s="4" t="inlineStr">
        <is>
          <t>/Users/leonidpofa/VSCodeHruchevoPY/quant/Excel_automation/research/microsoft_fy2025/financials.csv</t>
        </is>
      </c>
      <c r="B45" s="4" t="n"/>
      <c r="C45" s="4" t="n">
        <v>3</v>
      </c>
      <c r="D45" s="4" t="inlineStr">
        <is>
          <t>equity_beta</t>
        </is>
      </c>
      <c r="E45" s="4" t="inlineStr">
        <is>
          <t>row 3, column equity_beta</t>
        </is>
      </c>
      <c r="F45" s="4" t="inlineStr">
        <is>
          <t>equity_beta</t>
        </is>
      </c>
      <c r="G45" s="4" t="n">
        <v>2024</v>
      </c>
      <c r="H45" s="4" t="inlineStr">
        <is>
          <t>FY</t>
        </is>
      </c>
      <c r="I45" s="4" t="inlineStr">
        <is>
          <t>consolidated</t>
        </is>
      </c>
      <c r="J45" s="4" t="inlineStr">
        <is>
          <t>USD</t>
        </is>
      </c>
      <c r="K45" s="4" t="inlineStr">
        <is>
          <t>unavailable</t>
        </is>
      </c>
      <c r="L45" s="4" t="inlineStr">
        <is>
          <t>ratio</t>
        </is>
      </c>
      <c r="M45" s="4" t="n"/>
      <c r="N45" s="4" t="inlineStr">
        <is>
          <t>ratio</t>
        </is>
      </c>
      <c r="O45" s="4" t="inlineStr">
        <is>
          <t>unavailable</t>
        </is>
      </c>
      <c r="P45" s="4" t="n"/>
      <c r="Q45" s="4" t="inlineStr"/>
    </row>
    <row r="46" ht="66" customHeight="1">
      <c r="A46" s="4" t="inlineStr">
        <is>
          <t>/Users/leonidpofa/VSCodeHruchevoPY/quant/Excel_automation/research/microsoft_fy2025/financials.csv</t>
        </is>
      </c>
      <c r="B46" s="4" t="n"/>
      <c r="C46" s="4" t="n">
        <v>4</v>
      </c>
      <c r="D46" s="4" t="inlineStr">
        <is>
          <t>equity_beta</t>
        </is>
      </c>
      <c r="E46" s="4" t="inlineStr">
        <is>
          <t>row 4, column equity_beta</t>
        </is>
      </c>
      <c r="F46" s="4" t="inlineStr">
        <is>
          <t>equity_beta</t>
        </is>
      </c>
      <c r="G46" s="4" t="n">
        <v>2025</v>
      </c>
      <c r="H46" s="4" t="inlineStr">
        <is>
          <t>FY</t>
        </is>
      </c>
      <c r="I46" s="4" t="inlineStr">
        <is>
          <t>consolidated</t>
        </is>
      </c>
      <c r="J46" s="4" t="inlineStr">
        <is>
          <t>USD</t>
        </is>
      </c>
      <c r="K46" s="4" t="inlineStr">
        <is>
          <t>unavailable</t>
        </is>
      </c>
      <c r="L46" s="4" t="inlineStr">
        <is>
          <t>ratio</t>
        </is>
      </c>
      <c r="M46" s="4" t="n"/>
      <c r="N46" s="4" t="inlineStr">
        <is>
          <t>ratio</t>
        </is>
      </c>
      <c r="O46" s="4" t="inlineStr">
        <is>
          <t>unavailable</t>
        </is>
      </c>
      <c r="P46" s="4" t="inlineStr">
        <is>
          <t>Assumptions!B8</t>
        </is>
      </c>
      <c r="Q46" s="4" t="inlineStr">
        <is>
          <t>wacc</t>
        </is>
      </c>
    </row>
    <row r="47" ht="66" customHeight="1">
      <c r="A47" s="4" t="inlineStr">
        <is>
          <t>/Users/leonidpofa/VSCodeHruchevoPY/quant/Excel_automation/research/microsoft_fy2025/financials.csv</t>
        </is>
      </c>
      <c r="B47" s="4" t="n"/>
      <c r="C47" s="4" t="n">
        <v>2</v>
      </c>
      <c r="D47" s="4" t="inlineStr">
        <is>
          <t>equity_risk_premium</t>
        </is>
      </c>
      <c r="E47" s="4" t="inlineStr">
        <is>
          <t>row 2, column equity_risk_premium</t>
        </is>
      </c>
      <c r="F47" s="4" t="inlineStr">
        <is>
          <t>equity_risk_premium</t>
        </is>
      </c>
      <c r="G47" s="4" t="n">
        <v>2023</v>
      </c>
      <c r="H47" s="4" t="inlineStr">
        <is>
          <t>FY</t>
        </is>
      </c>
      <c r="I47" s="4" t="inlineStr">
        <is>
          <t>consolidated</t>
        </is>
      </c>
      <c r="J47" s="4" t="inlineStr">
        <is>
          <t>USD</t>
        </is>
      </c>
      <c r="K47" s="4" t="inlineStr">
        <is>
          <t>unavailable</t>
        </is>
      </c>
      <c r="L47" s="4" t="inlineStr">
        <is>
          <t>ratio</t>
        </is>
      </c>
      <c r="M47" s="4" t="n"/>
      <c r="N47" s="4" t="inlineStr">
        <is>
          <t>ratio</t>
        </is>
      </c>
      <c r="O47" s="4" t="inlineStr">
        <is>
          <t>unavailable</t>
        </is>
      </c>
      <c r="P47" s="4" t="n"/>
      <c r="Q47" s="4" t="inlineStr"/>
    </row>
    <row r="48" ht="66" customHeight="1">
      <c r="A48" s="4" t="inlineStr">
        <is>
          <t>/Users/leonidpofa/VSCodeHruchevoPY/quant/Excel_automation/research/microsoft_fy2025/financials.csv</t>
        </is>
      </c>
      <c r="B48" s="4" t="n"/>
      <c r="C48" s="4" t="n">
        <v>3</v>
      </c>
      <c r="D48" s="4" t="inlineStr">
        <is>
          <t>equity_risk_premium</t>
        </is>
      </c>
      <c r="E48" s="4" t="inlineStr">
        <is>
          <t>row 3, column equity_risk_premium</t>
        </is>
      </c>
      <c r="F48" s="4" t="inlineStr">
        <is>
          <t>equity_risk_premium</t>
        </is>
      </c>
      <c r="G48" s="4" t="n">
        <v>2024</v>
      </c>
      <c r="H48" s="4" t="inlineStr">
        <is>
          <t>FY</t>
        </is>
      </c>
      <c r="I48" s="4" t="inlineStr">
        <is>
          <t>consolidated</t>
        </is>
      </c>
      <c r="J48" s="4" t="inlineStr">
        <is>
          <t>USD</t>
        </is>
      </c>
      <c r="K48" s="4" t="inlineStr">
        <is>
          <t>unavailable</t>
        </is>
      </c>
      <c r="L48" s="4" t="inlineStr">
        <is>
          <t>ratio</t>
        </is>
      </c>
      <c r="M48" s="4" t="n"/>
      <c r="N48" s="4" t="inlineStr">
        <is>
          <t>ratio</t>
        </is>
      </c>
      <c r="O48" s="4" t="inlineStr">
        <is>
          <t>unavailable</t>
        </is>
      </c>
      <c r="P48" s="4" t="n"/>
      <c r="Q48" s="4" t="inlineStr"/>
    </row>
    <row r="49" ht="66" customHeight="1">
      <c r="A49" s="4" t="inlineStr">
        <is>
          <t>/Users/leonidpofa/VSCodeHruchevoPY/quant/Excel_automation/research/microsoft_fy2025/financials.csv</t>
        </is>
      </c>
      <c r="B49" s="4" t="n"/>
      <c r="C49" s="4" t="n">
        <v>4</v>
      </c>
      <c r="D49" s="4" t="inlineStr">
        <is>
          <t>equity_risk_premium</t>
        </is>
      </c>
      <c r="E49" s="4" t="inlineStr">
        <is>
          <t>row 4, column equity_risk_premium</t>
        </is>
      </c>
      <c r="F49" s="4" t="inlineStr">
        <is>
          <t>equity_risk_premium</t>
        </is>
      </c>
      <c r="G49" s="4" t="n">
        <v>2025</v>
      </c>
      <c r="H49" s="4" t="inlineStr">
        <is>
          <t>FY</t>
        </is>
      </c>
      <c r="I49" s="4" t="inlineStr">
        <is>
          <t>consolidated</t>
        </is>
      </c>
      <c r="J49" s="4" t="inlineStr">
        <is>
          <t>USD</t>
        </is>
      </c>
      <c r="K49" s="4" t="inlineStr">
        <is>
          <t>unavailable</t>
        </is>
      </c>
      <c r="L49" s="4" t="inlineStr">
        <is>
          <t>ratio</t>
        </is>
      </c>
      <c r="M49" s="4" t="n"/>
      <c r="N49" s="4" t="inlineStr">
        <is>
          <t>ratio</t>
        </is>
      </c>
      <c r="O49" s="4" t="inlineStr">
        <is>
          <t>unavailable</t>
        </is>
      </c>
      <c r="P49" s="4" t="inlineStr">
        <is>
          <t>Assumptions!B9</t>
        </is>
      </c>
      <c r="Q49" s="4" t="inlineStr">
        <is>
          <t>wacc</t>
        </is>
      </c>
    </row>
    <row r="50" ht="66" customHeight="1">
      <c r="A50" s="4" t="inlineStr">
        <is>
          <t>/Users/leonidpofa/VSCodeHruchevoPY/quant/Excel_automation/research/microsoft_fy2025/financials.csv</t>
        </is>
      </c>
      <c r="B50" s="4" t="n"/>
      <c r="C50" s="4" t="n">
        <v>2</v>
      </c>
      <c r="D50" s="4" t="inlineStr">
        <is>
          <t>gross_profit</t>
        </is>
      </c>
      <c r="E50" s="4" t="inlineStr">
        <is>
          <t>row 2, column gross_profit</t>
        </is>
      </c>
      <c r="F50" s="4" t="inlineStr">
        <is>
          <t>gross_profit</t>
        </is>
      </c>
      <c r="G50" s="4" t="n">
        <v>2023</v>
      </c>
      <c r="H50" s="4" t="inlineStr">
        <is>
          <t>FY</t>
        </is>
      </c>
      <c r="I50" s="4" t="inlineStr">
        <is>
          <t>consolidated</t>
        </is>
      </c>
      <c r="J50" s="4" t="inlineStr">
        <is>
          <t>USD</t>
        </is>
      </c>
      <c r="K50" s="4" t="inlineStr">
        <is>
          <t>146052</t>
        </is>
      </c>
      <c r="L50" s="4" t="inlineStr">
        <is>
          <t>millions</t>
        </is>
      </c>
      <c r="M50" s="4" t="inlineStr">
        <is>
          <t>146052000000</t>
        </is>
      </c>
      <c r="N50" s="4" t="inlineStr">
        <is>
          <t>USD</t>
        </is>
      </c>
      <c r="O50" s="4" t="inlineStr">
        <is>
          <t>reported</t>
        </is>
      </c>
      <c r="P50" s="4" t="n"/>
      <c r="Q50" s="4" t="inlineStr"/>
    </row>
    <row r="51" ht="66" customHeight="1">
      <c r="A51" s="4" t="inlineStr">
        <is>
          <t>/Users/leonidpofa/VSCodeHruchevoPY/quant/Excel_automation/research/microsoft_fy2025/financials.csv</t>
        </is>
      </c>
      <c r="B51" s="4" t="n"/>
      <c r="C51" s="4" t="n">
        <v>3</v>
      </c>
      <c r="D51" s="4" t="inlineStr">
        <is>
          <t>gross_profit</t>
        </is>
      </c>
      <c r="E51" s="4" t="inlineStr">
        <is>
          <t>row 3, column gross_profit</t>
        </is>
      </c>
      <c r="F51" s="4" t="inlineStr">
        <is>
          <t>gross_profit</t>
        </is>
      </c>
      <c r="G51" s="4" t="n">
        <v>2024</v>
      </c>
      <c r="H51" s="4" t="inlineStr">
        <is>
          <t>FY</t>
        </is>
      </c>
      <c r="I51" s="4" t="inlineStr">
        <is>
          <t>consolidated</t>
        </is>
      </c>
      <c r="J51" s="4" t="inlineStr">
        <is>
          <t>USD</t>
        </is>
      </c>
      <c r="K51" s="4" t="inlineStr">
        <is>
          <t>171008</t>
        </is>
      </c>
      <c r="L51" s="4" t="inlineStr">
        <is>
          <t>millions</t>
        </is>
      </c>
      <c r="M51" s="4" t="inlineStr">
        <is>
          <t>171008000000</t>
        </is>
      </c>
      <c r="N51" s="4" t="inlineStr">
        <is>
          <t>USD</t>
        </is>
      </c>
      <c r="O51" s="4" t="inlineStr">
        <is>
          <t>reported</t>
        </is>
      </c>
      <c r="P51" s="4" t="inlineStr">
        <is>
          <t>Inputs!B12</t>
        </is>
      </c>
      <c r="Q51" s="4" t="inlineStr"/>
    </row>
    <row r="52" ht="66" customHeight="1">
      <c r="A52" s="4" t="inlineStr">
        <is>
          <t>/Users/leonidpofa/VSCodeHruchevoPY/quant/Excel_automation/research/microsoft_fy2025/financials.csv</t>
        </is>
      </c>
      <c r="B52" s="4" t="n"/>
      <c r="C52" s="4" t="n">
        <v>4</v>
      </c>
      <c r="D52" s="4" t="inlineStr">
        <is>
          <t>gross_profit</t>
        </is>
      </c>
      <c r="E52" s="4" t="inlineStr">
        <is>
          <t>row 4, column gross_profit</t>
        </is>
      </c>
      <c r="F52" s="4" t="inlineStr">
        <is>
          <t>gross_profit</t>
        </is>
      </c>
      <c r="G52" s="4" t="n">
        <v>2025</v>
      </c>
      <c r="H52" s="4" t="inlineStr">
        <is>
          <t>FY</t>
        </is>
      </c>
      <c r="I52" s="4" t="inlineStr">
        <is>
          <t>consolidated</t>
        </is>
      </c>
      <c r="J52" s="4" t="inlineStr">
        <is>
          <t>USD</t>
        </is>
      </c>
      <c r="K52" s="4" t="inlineStr">
        <is>
          <t>193893</t>
        </is>
      </c>
      <c r="L52" s="4" t="inlineStr">
        <is>
          <t>millions</t>
        </is>
      </c>
      <c r="M52" s="4" t="inlineStr">
        <is>
          <t>193893000000</t>
        </is>
      </c>
      <c r="N52" s="4" t="inlineStr">
        <is>
          <t>USD</t>
        </is>
      </c>
      <c r="O52" s="4" t="inlineStr">
        <is>
          <t>reported</t>
        </is>
      </c>
      <c r="P52" s="4" t="inlineStr">
        <is>
          <t>Inputs!C12</t>
        </is>
      </c>
      <c r="Q52" s="4" t="inlineStr">
        <is>
          <t>gross_margin</t>
        </is>
      </c>
    </row>
    <row r="53" ht="66" customHeight="1">
      <c r="A53" s="4" t="inlineStr">
        <is>
          <t>/Users/leonidpofa/VSCodeHruchevoPY/quant/Excel_automation/research/microsoft_fy2025/financials.csv</t>
        </is>
      </c>
      <c r="B53" s="4" t="n"/>
      <c r="C53" s="4" t="n">
        <v>2</v>
      </c>
      <c r="D53" s="4" t="inlineStr">
        <is>
          <t>income_tax_expense</t>
        </is>
      </c>
      <c r="E53" s="4" t="inlineStr">
        <is>
          <t>row 2, column income_tax_expense</t>
        </is>
      </c>
      <c r="F53" s="4" t="inlineStr">
        <is>
          <t>income_tax_expense</t>
        </is>
      </c>
      <c r="G53" s="4" t="n">
        <v>2023</v>
      </c>
      <c r="H53" s="4" t="inlineStr">
        <is>
          <t>FY</t>
        </is>
      </c>
      <c r="I53" s="4" t="inlineStr">
        <is>
          <t>consolidated</t>
        </is>
      </c>
      <c r="J53" s="4" t="inlineStr">
        <is>
          <t>USD</t>
        </is>
      </c>
      <c r="K53" s="4" t="inlineStr">
        <is>
          <t>16950</t>
        </is>
      </c>
      <c r="L53" s="4" t="inlineStr">
        <is>
          <t>millions</t>
        </is>
      </c>
      <c r="M53" s="4" t="inlineStr">
        <is>
          <t>16950000000</t>
        </is>
      </c>
      <c r="N53" s="4" t="inlineStr">
        <is>
          <t>USD</t>
        </is>
      </c>
      <c r="O53" s="4" t="inlineStr">
        <is>
          <t>reported</t>
        </is>
      </c>
      <c r="P53" s="4" t="n"/>
      <c r="Q53" s="4" t="inlineStr"/>
    </row>
    <row r="54" ht="66" customHeight="1">
      <c r="A54" s="4" t="inlineStr">
        <is>
          <t>/Users/leonidpofa/VSCodeHruchevoPY/quant/Excel_automation/research/microsoft_fy2025/financials.csv</t>
        </is>
      </c>
      <c r="B54" s="4" t="n"/>
      <c r="C54" s="4" t="n">
        <v>3</v>
      </c>
      <c r="D54" s="4" t="inlineStr">
        <is>
          <t>income_tax_expense</t>
        </is>
      </c>
      <c r="E54" s="4" t="inlineStr">
        <is>
          <t>row 3, column income_tax_expense</t>
        </is>
      </c>
      <c r="F54" s="4" t="inlineStr">
        <is>
          <t>income_tax_expense</t>
        </is>
      </c>
      <c r="G54" s="4" t="n">
        <v>2024</v>
      </c>
      <c r="H54" s="4" t="inlineStr">
        <is>
          <t>FY</t>
        </is>
      </c>
      <c r="I54" s="4" t="inlineStr">
        <is>
          <t>consolidated</t>
        </is>
      </c>
      <c r="J54" s="4" t="inlineStr">
        <is>
          <t>USD</t>
        </is>
      </c>
      <c r="K54" s="4" t="inlineStr">
        <is>
          <t>19651</t>
        </is>
      </c>
      <c r="L54" s="4" t="inlineStr">
        <is>
          <t>millions</t>
        </is>
      </c>
      <c r="M54" s="4" t="inlineStr">
        <is>
          <t>19651000000</t>
        </is>
      </c>
      <c r="N54" s="4" t="inlineStr">
        <is>
          <t>USD</t>
        </is>
      </c>
      <c r="O54" s="4" t="inlineStr">
        <is>
          <t>reported</t>
        </is>
      </c>
      <c r="P54" s="4" t="inlineStr">
        <is>
          <t>Inputs!B16</t>
        </is>
      </c>
      <c r="Q54" s="4" t="inlineStr"/>
    </row>
    <row r="55" ht="66" customHeight="1">
      <c r="A55" s="4" t="inlineStr">
        <is>
          <t>/Users/leonidpofa/VSCodeHruchevoPY/quant/Excel_automation/research/microsoft_fy2025/financials.csv</t>
        </is>
      </c>
      <c r="B55" s="4" t="n"/>
      <c r="C55" s="4" t="n">
        <v>4</v>
      </c>
      <c r="D55" s="4" t="inlineStr">
        <is>
          <t>income_tax_expense</t>
        </is>
      </c>
      <c r="E55" s="4" t="inlineStr">
        <is>
          <t>row 4, column income_tax_expense</t>
        </is>
      </c>
      <c r="F55" s="4" t="inlineStr">
        <is>
          <t>income_tax_expense</t>
        </is>
      </c>
      <c r="G55" s="4" t="n">
        <v>2025</v>
      </c>
      <c r="H55" s="4" t="inlineStr">
        <is>
          <t>FY</t>
        </is>
      </c>
      <c r="I55" s="4" t="inlineStr">
        <is>
          <t>consolidated</t>
        </is>
      </c>
      <c r="J55" s="4" t="inlineStr">
        <is>
          <t>USD</t>
        </is>
      </c>
      <c r="K55" s="4" t="inlineStr">
        <is>
          <t>21795</t>
        </is>
      </c>
      <c r="L55" s="4" t="inlineStr">
        <is>
          <t>millions</t>
        </is>
      </c>
      <c r="M55" s="4" t="inlineStr">
        <is>
          <t>21795000000</t>
        </is>
      </c>
      <c r="N55" s="4" t="inlineStr">
        <is>
          <t>USD</t>
        </is>
      </c>
      <c r="O55" s="4" t="inlineStr">
        <is>
          <t>reported</t>
        </is>
      </c>
      <c r="P55" s="4" t="inlineStr">
        <is>
          <t>Inputs!C16</t>
        </is>
      </c>
      <c r="Q55" s="4" t="inlineStr"/>
    </row>
    <row r="56" ht="66" customHeight="1">
      <c r="A56" s="4" t="inlineStr">
        <is>
          <t>/Users/leonidpofa/VSCodeHruchevoPY/quant/Excel_automation/research/microsoft_fy2025/financials.csv</t>
        </is>
      </c>
      <c r="B56" s="4" t="n"/>
      <c r="C56" s="4" t="n">
        <v>2</v>
      </c>
      <c r="D56" s="4" t="inlineStr">
        <is>
          <t>interest_expense</t>
        </is>
      </c>
      <c r="E56" s="4" t="inlineStr">
        <is>
          <t>row 2, column interest_expense</t>
        </is>
      </c>
      <c r="F56" s="4" t="inlineStr">
        <is>
          <t>interest_expense</t>
        </is>
      </c>
      <c r="G56" s="4" t="n">
        <v>2023</v>
      </c>
      <c r="H56" s="4" t="inlineStr">
        <is>
          <t>FY</t>
        </is>
      </c>
      <c r="I56" s="4" t="inlineStr">
        <is>
          <t>consolidated</t>
        </is>
      </c>
      <c r="J56" s="4" t="inlineStr">
        <is>
          <t>USD</t>
        </is>
      </c>
      <c r="K56" s="4" t="inlineStr">
        <is>
          <t>1968</t>
        </is>
      </c>
      <c r="L56" s="4" t="inlineStr">
        <is>
          <t>millions</t>
        </is>
      </c>
      <c r="M56" s="4" t="inlineStr">
        <is>
          <t>1968000000</t>
        </is>
      </c>
      <c r="N56" s="4" t="inlineStr">
        <is>
          <t>USD</t>
        </is>
      </c>
      <c r="O56" s="4" t="inlineStr">
        <is>
          <t>reported</t>
        </is>
      </c>
      <c r="P56" s="4" t="n"/>
      <c r="Q56" s="4" t="inlineStr"/>
    </row>
    <row r="57" ht="66" customHeight="1">
      <c r="A57" s="4" t="inlineStr">
        <is>
          <t>/Users/leonidpofa/VSCodeHruchevoPY/quant/Excel_automation/research/microsoft_fy2025/financials.csv</t>
        </is>
      </c>
      <c r="B57" s="4" t="n"/>
      <c r="C57" s="4" t="n">
        <v>3</v>
      </c>
      <c r="D57" s="4" t="inlineStr">
        <is>
          <t>interest_expense</t>
        </is>
      </c>
      <c r="E57" s="4" t="inlineStr">
        <is>
          <t>row 3, column interest_expense</t>
        </is>
      </c>
      <c r="F57" s="4" t="inlineStr">
        <is>
          <t>interest_expense</t>
        </is>
      </c>
      <c r="G57" s="4" t="n">
        <v>2024</v>
      </c>
      <c r="H57" s="4" t="inlineStr">
        <is>
          <t>FY</t>
        </is>
      </c>
      <c r="I57" s="4" t="inlineStr">
        <is>
          <t>consolidated</t>
        </is>
      </c>
      <c r="J57" s="4" t="inlineStr">
        <is>
          <t>USD</t>
        </is>
      </c>
      <c r="K57" s="4" t="inlineStr">
        <is>
          <t>2935</t>
        </is>
      </c>
      <c r="L57" s="4" t="inlineStr">
        <is>
          <t>millions</t>
        </is>
      </c>
      <c r="M57" s="4" t="inlineStr">
        <is>
          <t>2935000000</t>
        </is>
      </c>
      <c r="N57" s="4" t="inlineStr">
        <is>
          <t>USD</t>
        </is>
      </c>
      <c r="O57" s="4" t="inlineStr">
        <is>
          <t>reported</t>
        </is>
      </c>
      <c r="P57" s="4" t="inlineStr">
        <is>
          <t>Inputs!B15</t>
        </is>
      </c>
      <c r="Q57" s="4" t="inlineStr"/>
    </row>
    <row r="58" ht="66" customHeight="1">
      <c r="A58" s="4" t="inlineStr">
        <is>
          <t>/Users/leonidpofa/VSCodeHruchevoPY/quant/Excel_automation/research/microsoft_fy2025/financials.csv</t>
        </is>
      </c>
      <c r="B58" s="4" t="n"/>
      <c r="C58" s="4" t="n">
        <v>4</v>
      </c>
      <c r="D58" s="4" t="inlineStr">
        <is>
          <t>interest_expense</t>
        </is>
      </c>
      <c r="E58" s="4" t="inlineStr">
        <is>
          <t>row 4, column interest_expense</t>
        </is>
      </c>
      <c r="F58" s="4" t="inlineStr">
        <is>
          <t>interest_expense</t>
        </is>
      </c>
      <c r="G58" s="4" t="n">
        <v>2025</v>
      </c>
      <c r="H58" s="4" t="inlineStr">
        <is>
          <t>FY</t>
        </is>
      </c>
      <c r="I58" s="4" t="inlineStr">
        <is>
          <t>consolidated</t>
        </is>
      </c>
      <c r="J58" s="4" t="inlineStr">
        <is>
          <t>USD</t>
        </is>
      </c>
      <c r="K58" s="4" t="inlineStr">
        <is>
          <t>2385</t>
        </is>
      </c>
      <c r="L58" s="4" t="inlineStr">
        <is>
          <t>millions</t>
        </is>
      </c>
      <c r="M58" s="4" t="inlineStr">
        <is>
          <t>2385000000</t>
        </is>
      </c>
      <c r="N58" s="4" t="inlineStr">
        <is>
          <t>USD</t>
        </is>
      </c>
      <c r="O58" s="4" t="inlineStr">
        <is>
          <t>reported</t>
        </is>
      </c>
      <c r="P58" s="4" t="inlineStr">
        <is>
          <t>Inputs!C15</t>
        </is>
      </c>
      <c r="Q58" s="4" t="inlineStr">
        <is>
          <t>interest_coverage</t>
        </is>
      </c>
    </row>
    <row r="59" ht="66" customHeight="1">
      <c r="A59" s="4" t="inlineStr">
        <is>
          <t>/Users/leonidpofa/VSCodeHruchevoPY/quant/Excel_automation/research/microsoft_fy2025/financials.csv</t>
        </is>
      </c>
      <c r="B59" s="4" t="n"/>
      <c r="C59" s="4" t="n">
        <v>2</v>
      </c>
      <c r="D59" s="4" t="inlineStr">
        <is>
          <t>inventory</t>
        </is>
      </c>
      <c r="E59" s="4" t="inlineStr">
        <is>
          <t>row 2, column inventory</t>
        </is>
      </c>
      <c r="F59" s="4" t="inlineStr">
        <is>
          <t>inventory</t>
        </is>
      </c>
      <c r="G59" s="4" t="n">
        <v>2023</v>
      </c>
      <c r="H59" s="4" t="inlineStr">
        <is>
          <t>FY</t>
        </is>
      </c>
      <c r="I59" s="4" t="inlineStr">
        <is>
          <t>consolidated</t>
        </is>
      </c>
      <c r="J59" s="4" t="inlineStr">
        <is>
          <t>USD</t>
        </is>
      </c>
      <c r="K59" s="4" t="inlineStr"/>
      <c r="L59" s="4" t="inlineStr">
        <is>
          <t>millions</t>
        </is>
      </c>
      <c r="M59" s="4" t="n"/>
      <c r="N59" s="4" t="inlineStr">
        <is>
          <t>USD</t>
        </is>
      </c>
      <c r="O59" s="4" t="inlineStr">
        <is>
          <t>missing</t>
        </is>
      </c>
      <c r="P59" s="4" t="n"/>
      <c r="Q59" s="4" t="inlineStr"/>
    </row>
    <row r="60" ht="66" customHeight="1">
      <c r="A60" s="4" t="inlineStr">
        <is>
          <t>/Users/leonidpofa/VSCodeHruchevoPY/quant/Excel_automation/research/microsoft_fy2025/financials.csv</t>
        </is>
      </c>
      <c r="B60" s="4" t="n"/>
      <c r="C60" s="4" t="n">
        <v>3</v>
      </c>
      <c r="D60" s="4" t="inlineStr">
        <is>
          <t>inventory</t>
        </is>
      </c>
      <c r="E60" s="4" t="inlineStr">
        <is>
          <t>row 3, column inventory</t>
        </is>
      </c>
      <c r="F60" s="4" t="inlineStr">
        <is>
          <t>inventory</t>
        </is>
      </c>
      <c r="G60" s="4" t="n">
        <v>2024</v>
      </c>
      <c r="H60" s="4" t="inlineStr">
        <is>
          <t>FY</t>
        </is>
      </c>
      <c r="I60" s="4" t="inlineStr">
        <is>
          <t>consolidated</t>
        </is>
      </c>
      <c r="J60" s="4" t="inlineStr">
        <is>
          <t>USD</t>
        </is>
      </c>
      <c r="K60" s="4" t="inlineStr">
        <is>
          <t>1246</t>
        </is>
      </c>
      <c r="L60" s="4" t="inlineStr">
        <is>
          <t>millions</t>
        </is>
      </c>
      <c r="M60" s="4" t="inlineStr">
        <is>
          <t>1246000000</t>
        </is>
      </c>
      <c r="N60" s="4" t="inlineStr">
        <is>
          <t>USD</t>
        </is>
      </c>
      <c r="O60" s="4" t="inlineStr">
        <is>
          <t>reported</t>
        </is>
      </c>
      <c r="P60" s="4" t="inlineStr">
        <is>
          <t>Inputs!B24</t>
        </is>
      </c>
      <c r="Q60" s="4" t="inlineStr">
        <is>
          <t>dio, cash_conversion_cycle</t>
        </is>
      </c>
    </row>
    <row r="61" ht="66" customHeight="1">
      <c r="A61" s="4" t="inlineStr">
        <is>
          <t>/Users/leonidpofa/VSCodeHruchevoPY/quant/Excel_automation/research/microsoft_fy2025/financials.csv</t>
        </is>
      </c>
      <c r="B61" s="4" t="n"/>
      <c r="C61" s="4" t="n">
        <v>4</v>
      </c>
      <c r="D61" s="4" t="inlineStr">
        <is>
          <t>inventory</t>
        </is>
      </c>
      <c r="E61" s="4" t="inlineStr">
        <is>
          <t>row 4, column inventory</t>
        </is>
      </c>
      <c r="F61" s="4" t="inlineStr">
        <is>
          <t>inventory</t>
        </is>
      </c>
      <c r="G61" s="4" t="n">
        <v>2025</v>
      </c>
      <c r="H61" s="4" t="inlineStr">
        <is>
          <t>FY</t>
        </is>
      </c>
      <c r="I61" s="4" t="inlineStr">
        <is>
          <t>consolidated</t>
        </is>
      </c>
      <c r="J61" s="4" t="inlineStr">
        <is>
          <t>USD</t>
        </is>
      </c>
      <c r="K61" s="4" t="inlineStr">
        <is>
          <t>938</t>
        </is>
      </c>
      <c r="L61" s="4" t="inlineStr">
        <is>
          <t>millions</t>
        </is>
      </c>
      <c r="M61" s="4" t="inlineStr">
        <is>
          <t>938000000</t>
        </is>
      </c>
      <c r="N61" s="4" t="inlineStr">
        <is>
          <t>USD</t>
        </is>
      </c>
      <c r="O61" s="4" t="inlineStr">
        <is>
          <t>reported</t>
        </is>
      </c>
      <c r="P61" s="4" t="inlineStr">
        <is>
          <t>Inputs!C24</t>
        </is>
      </c>
      <c r="Q61" s="4" t="inlineStr">
        <is>
          <t>quick_ratio, dio, cash_conversion_cycle</t>
        </is>
      </c>
    </row>
    <row r="62" ht="66" customHeight="1">
      <c r="A62" s="4" t="inlineStr">
        <is>
          <t>/Users/leonidpofa/VSCodeHruchevoPY/quant/Excel_automation/research/microsoft_fy2025/financials.csv</t>
        </is>
      </c>
      <c r="B62" s="4" t="n"/>
      <c r="C62" s="4" t="n">
        <v>2</v>
      </c>
      <c r="D62" s="4" t="inlineStr">
        <is>
          <t>marginal_tax_rate</t>
        </is>
      </c>
      <c r="E62" s="4" t="inlineStr">
        <is>
          <t>row 2, column marginal_tax_rate</t>
        </is>
      </c>
      <c r="F62" s="4" t="inlineStr">
        <is>
          <t>marginal_tax_rate</t>
        </is>
      </c>
      <c r="G62" s="4" t="n">
        <v>2023</v>
      </c>
      <c r="H62" s="4" t="inlineStr">
        <is>
          <t>FY</t>
        </is>
      </c>
      <c r="I62" s="4" t="inlineStr">
        <is>
          <t>consolidated</t>
        </is>
      </c>
      <c r="J62" s="4" t="inlineStr">
        <is>
          <t>USD</t>
        </is>
      </c>
      <c r="K62" s="4" t="inlineStr">
        <is>
          <t>unavailable</t>
        </is>
      </c>
      <c r="L62" s="4" t="inlineStr">
        <is>
          <t>ratio</t>
        </is>
      </c>
      <c r="M62" s="4" t="n"/>
      <c r="N62" s="4" t="inlineStr">
        <is>
          <t>ratio</t>
        </is>
      </c>
      <c r="O62" s="4" t="inlineStr">
        <is>
          <t>unavailable</t>
        </is>
      </c>
      <c r="P62" s="4" t="n"/>
      <c r="Q62" s="4" t="inlineStr"/>
    </row>
    <row r="63" ht="66" customHeight="1">
      <c r="A63" s="4" t="inlineStr">
        <is>
          <t>/Users/leonidpofa/VSCodeHruchevoPY/quant/Excel_automation/research/microsoft_fy2025/financials.csv</t>
        </is>
      </c>
      <c r="B63" s="4" t="n"/>
      <c r="C63" s="4" t="n">
        <v>3</v>
      </c>
      <c r="D63" s="4" t="inlineStr">
        <is>
          <t>marginal_tax_rate</t>
        </is>
      </c>
      <c r="E63" s="4" t="inlineStr">
        <is>
          <t>row 3, column marginal_tax_rate</t>
        </is>
      </c>
      <c r="F63" s="4" t="inlineStr">
        <is>
          <t>marginal_tax_rate</t>
        </is>
      </c>
      <c r="G63" s="4" t="n">
        <v>2024</v>
      </c>
      <c r="H63" s="4" t="inlineStr">
        <is>
          <t>FY</t>
        </is>
      </c>
      <c r="I63" s="4" t="inlineStr">
        <is>
          <t>consolidated</t>
        </is>
      </c>
      <c r="J63" s="4" t="inlineStr">
        <is>
          <t>USD</t>
        </is>
      </c>
      <c r="K63" s="4" t="inlineStr">
        <is>
          <t>unavailable</t>
        </is>
      </c>
      <c r="L63" s="4" t="inlineStr">
        <is>
          <t>ratio</t>
        </is>
      </c>
      <c r="M63" s="4" t="n"/>
      <c r="N63" s="4" t="inlineStr">
        <is>
          <t>ratio</t>
        </is>
      </c>
      <c r="O63" s="4" t="inlineStr">
        <is>
          <t>unavailable</t>
        </is>
      </c>
      <c r="P63" s="4" t="n"/>
      <c r="Q63" s="4" t="inlineStr"/>
    </row>
    <row r="64" ht="66" customHeight="1">
      <c r="A64" s="4" t="inlineStr">
        <is>
          <t>/Users/leonidpofa/VSCodeHruchevoPY/quant/Excel_automation/research/microsoft_fy2025/financials.csv</t>
        </is>
      </c>
      <c r="B64" s="4" t="n"/>
      <c r="C64" s="4" t="n">
        <v>4</v>
      </c>
      <c r="D64" s="4" t="inlineStr">
        <is>
          <t>marginal_tax_rate</t>
        </is>
      </c>
      <c r="E64" s="4" t="inlineStr">
        <is>
          <t>row 4, column marginal_tax_rate</t>
        </is>
      </c>
      <c r="F64" s="4" t="inlineStr">
        <is>
          <t>marginal_tax_rate</t>
        </is>
      </c>
      <c r="G64" s="4" t="n">
        <v>2025</v>
      </c>
      <c r="H64" s="4" t="inlineStr">
        <is>
          <t>FY</t>
        </is>
      </c>
      <c r="I64" s="4" t="inlineStr">
        <is>
          <t>consolidated</t>
        </is>
      </c>
      <c r="J64" s="4" t="inlineStr">
        <is>
          <t>USD</t>
        </is>
      </c>
      <c r="K64" s="4" t="inlineStr">
        <is>
          <t>unavailable</t>
        </is>
      </c>
      <c r="L64" s="4" t="inlineStr">
        <is>
          <t>ratio</t>
        </is>
      </c>
      <c r="M64" s="4" t="n"/>
      <c r="N64" s="4" t="inlineStr">
        <is>
          <t>ratio</t>
        </is>
      </c>
      <c r="O64" s="4" t="inlineStr">
        <is>
          <t>unavailable</t>
        </is>
      </c>
      <c r="P64" s="4" t="inlineStr">
        <is>
          <t>Assumptions!B10</t>
        </is>
      </c>
      <c r="Q64" s="4" t="inlineStr">
        <is>
          <t>wacc</t>
        </is>
      </c>
    </row>
    <row r="65" ht="66" customHeight="1">
      <c r="A65" s="4" t="inlineStr">
        <is>
          <t>/Users/leonidpofa/VSCodeHruchevoPY/quant/Excel_automation/research/microsoft_fy2025/financials.csv</t>
        </is>
      </c>
      <c r="B65" s="4" t="n"/>
      <c r="C65" s="4" t="n">
        <v>2</v>
      </c>
      <c r="D65" s="4" t="inlineStr">
        <is>
          <t>market_cap</t>
        </is>
      </c>
      <c r="E65" s="4" t="inlineStr">
        <is>
          <t>row 2, column market_cap</t>
        </is>
      </c>
      <c r="F65" s="4" t="inlineStr">
        <is>
          <t>market_cap</t>
        </is>
      </c>
      <c r="G65" s="4" t="n">
        <v>2023</v>
      </c>
      <c r="H65" s="4" t="inlineStr">
        <is>
          <t>FY</t>
        </is>
      </c>
      <c r="I65" s="4" t="inlineStr">
        <is>
          <t>consolidated</t>
        </is>
      </c>
      <c r="J65" s="4" t="inlineStr">
        <is>
          <t>USD</t>
        </is>
      </c>
      <c r="K65" s="4" t="inlineStr">
        <is>
          <t>unavailable</t>
        </is>
      </c>
      <c r="L65" s="4" t="inlineStr">
        <is>
          <t>millions</t>
        </is>
      </c>
      <c r="M65" s="4" t="n"/>
      <c r="N65" s="4" t="inlineStr">
        <is>
          <t>USD</t>
        </is>
      </c>
      <c r="O65" s="4" t="inlineStr">
        <is>
          <t>unavailable</t>
        </is>
      </c>
      <c r="P65" s="4" t="n"/>
      <c r="Q65" s="4" t="inlineStr"/>
    </row>
    <row r="66" ht="66" customHeight="1">
      <c r="A66" s="4" t="inlineStr">
        <is>
          <t>/Users/leonidpofa/VSCodeHruchevoPY/quant/Excel_automation/research/microsoft_fy2025/financials.csv</t>
        </is>
      </c>
      <c r="B66" s="4" t="n"/>
      <c r="C66" s="4" t="n">
        <v>3</v>
      </c>
      <c r="D66" s="4" t="inlineStr">
        <is>
          <t>market_cap</t>
        </is>
      </c>
      <c r="E66" s="4" t="inlineStr">
        <is>
          <t>row 3, column market_cap</t>
        </is>
      </c>
      <c r="F66" s="4" t="inlineStr">
        <is>
          <t>market_cap</t>
        </is>
      </c>
      <c r="G66" s="4" t="n">
        <v>2024</v>
      </c>
      <c r="H66" s="4" t="inlineStr">
        <is>
          <t>FY</t>
        </is>
      </c>
      <c r="I66" s="4" t="inlineStr">
        <is>
          <t>consolidated</t>
        </is>
      </c>
      <c r="J66" s="4" t="inlineStr">
        <is>
          <t>USD</t>
        </is>
      </c>
      <c r="K66" s="4" t="inlineStr">
        <is>
          <t>unavailable</t>
        </is>
      </c>
      <c r="L66" s="4" t="inlineStr">
        <is>
          <t>millions</t>
        </is>
      </c>
      <c r="M66" s="4" t="n"/>
      <c r="N66" s="4" t="inlineStr">
        <is>
          <t>USD</t>
        </is>
      </c>
      <c r="O66" s="4" t="inlineStr">
        <is>
          <t>unavailable</t>
        </is>
      </c>
      <c r="P66" s="4" t="inlineStr">
        <is>
          <t>Inputs!B27</t>
        </is>
      </c>
      <c r="Q66" s="4" t="inlineStr"/>
    </row>
    <row r="67" ht="66" customHeight="1">
      <c r="A67" s="4" t="inlineStr">
        <is>
          <t>/Users/leonidpofa/VSCodeHruchevoPY/quant/Excel_automation/research/microsoft_fy2025/financials.csv</t>
        </is>
      </c>
      <c r="B67" s="4" t="n"/>
      <c r="C67" s="4" t="n">
        <v>4</v>
      </c>
      <c r="D67" s="4" t="inlineStr">
        <is>
          <t>market_cap</t>
        </is>
      </c>
      <c r="E67" s="4" t="inlineStr">
        <is>
          <t>row 4, column market_cap</t>
        </is>
      </c>
      <c r="F67" s="4" t="inlineStr">
        <is>
          <t>market_cap</t>
        </is>
      </c>
      <c r="G67" s="4" t="n">
        <v>2025</v>
      </c>
      <c r="H67" s="4" t="inlineStr">
        <is>
          <t>FY</t>
        </is>
      </c>
      <c r="I67" s="4" t="inlineStr">
        <is>
          <t>consolidated</t>
        </is>
      </c>
      <c r="J67" s="4" t="inlineStr">
        <is>
          <t>USD</t>
        </is>
      </c>
      <c r="K67" s="4" t="inlineStr">
        <is>
          <t>unavailable</t>
        </is>
      </c>
      <c r="L67" s="4" t="inlineStr">
        <is>
          <t>millions</t>
        </is>
      </c>
      <c r="M67" s="4" t="n"/>
      <c r="N67" s="4" t="inlineStr">
        <is>
          <t>USD</t>
        </is>
      </c>
      <c r="O67" s="4" t="inlineStr">
        <is>
          <t>unavailable</t>
        </is>
      </c>
      <c r="P67" s="4" t="inlineStr">
        <is>
          <t>Inputs!C27</t>
        </is>
      </c>
      <c r="Q67" s="4" t="inlineStr">
        <is>
          <t>wacc, enterprise_value, ev_to_revenue, ev_to_ebitda, price_to_earnings</t>
        </is>
      </c>
    </row>
    <row r="68" ht="66" customHeight="1">
      <c r="A68" s="4" t="inlineStr">
        <is>
          <t>/Users/leonidpofa/VSCodeHruchevoPY/quant/Excel_automation/research/microsoft_fy2025/financials.csv</t>
        </is>
      </c>
      <c r="B68" s="4" t="n"/>
      <c r="C68" s="4" t="n">
        <v>2</v>
      </c>
      <c r="D68" s="4" t="inlineStr">
        <is>
          <t>market_value_debt</t>
        </is>
      </c>
      <c r="E68" s="4" t="inlineStr">
        <is>
          <t>row 2, column market_value_debt</t>
        </is>
      </c>
      <c r="F68" s="4" t="inlineStr">
        <is>
          <t>market_value_debt</t>
        </is>
      </c>
      <c r="G68" s="4" t="n">
        <v>2023</v>
      </c>
      <c r="H68" s="4" t="inlineStr">
        <is>
          <t>FY</t>
        </is>
      </c>
      <c r="I68" s="4" t="inlineStr">
        <is>
          <t>consolidated</t>
        </is>
      </c>
      <c r="J68" s="4" t="inlineStr">
        <is>
          <t>USD</t>
        </is>
      </c>
      <c r="K68" s="4" t="inlineStr"/>
      <c r="L68" s="4" t="inlineStr">
        <is>
          <t>millions</t>
        </is>
      </c>
      <c r="M68" s="4" t="n"/>
      <c r="N68" s="4" t="inlineStr">
        <is>
          <t>USD</t>
        </is>
      </c>
      <c r="O68" s="4" t="inlineStr">
        <is>
          <t>missing</t>
        </is>
      </c>
      <c r="P68" s="4" t="n"/>
      <c r="Q68" s="4" t="inlineStr"/>
    </row>
    <row r="69" ht="66" customHeight="1">
      <c r="A69" s="4" t="inlineStr">
        <is>
          <t>/Users/leonidpofa/VSCodeHruchevoPY/quant/Excel_automation/research/microsoft_fy2025/financials.csv</t>
        </is>
      </c>
      <c r="B69" s="4" t="n"/>
      <c r="C69" s="4" t="n">
        <v>3</v>
      </c>
      <c r="D69" s="4" t="inlineStr">
        <is>
          <t>market_value_debt</t>
        </is>
      </c>
      <c r="E69" s="4" t="inlineStr">
        <is>
          <t>row 3, column market_value_debt</t>
        </is>
      </c>
      <c r="F69" s="4" t="inlineStr">
        <is>
          <t>market_value_debt</t>
        </is>
      </c>
      <c r="G69" s="4" t="n">
        <v>2024</v>
      </c>
      <c r="H69" s="4" t="inlineStr">
        <is>
          <t>FY</t>
        </is>
      </c>
      <c r="I69" s="4" t="inlineStr">
        <is>
          <t>consolidated</t>
        </is>
      </c>
      <c r="J69" s="4" t="inlineStr">
        <is>
          <t>USD</t>
        </is>
      </c>
      <c r="K69" s="4" t="inlineStr"/>
      <c r="L69" s="4" t="inlineStr">
        <is>
          <t>millions</t>
        </is>
      </c>
      <c r="M69" s="4" t="n"/>
      <c r="N69" s="4" t="inlineStr">
        <is>
          <t>USD</t>
        </is>
      </c>
      <c r="O69" s="4" t="inlineStr">
        <is>
          <t>missing</t>
        </is>
      </c>
      <c r="P69" s="4" t="n"/>
      <c r="Q69" s="4" t="inlineStr"/>
    </row>
    <row r="70" ht="66" customHeight="1">
      <c r="A70" s="4" t="inlineStr">
        <is>
          <t>/Users/leonidpofa/VSCodeHruchevoPY/quant/Excel_automation/research/microsoft_fy2025/financials.csv</t>
        </is>
      </c>
      <c r="B70" s="4" t="n"/>
      <c r="C70" s="4" t="n">
        <v>4</v>
      </c>
      <c r="D70" s="4" t="inlineStr">
        <is>
          <t>market_value_debt</t>
        </is>
      </c>
      <c r="E70" s="4" t="inlineStr">
        <is>
          <t>row 4, column market_value_debt</t>
        </is>
      </c>
      <c r="F70" s="4" t="inlineStr">
        <is>
          <t>market_value_debt</t>
        </is>
      </c>
      <c r="G70" s="4" t="n">
        <v>2025</v>
      </c>
      <c r="H70" s="4" t="inlineStr">
        <is>
          <t>FY</t>
        </is>
      </c>
      <c r="I70" s="4" t="inlineStr">
        <is>
          <t>consolidated</t>
        </is>
      </c>
      <c r="J70" s="4" t="inlineStr">
        <is>
          <t>USD</t>
        </is>
      </c>
      <c r="K70" s="4" t="inlineStr">
        <is>
          <t>40400</t>
        </is>
      </c>
      <c r="L70" s="4" t="inlineStr">
        <is>
          <t>millions</t>
        </is>
      </c>
      <c r="M70" s="4" t="inlineStr">
        <is>
          <t>40400000000</t>
        </is>
      </c>
      <c r="N70" s="4" t="inlineStr">
        <is>
          <t>USD</t>
        </is>
      </c>
      <c r="O70" s="4" t="inlineStr">
        <is>
          <t>reported</t>
        </is>
      </c>
      <c r="P70" s="4" t="inlineStr">
        <is>
          <t>Assumptions!B5</t>
        </is>
      </c>
      <c r="Q70" s="4" t="inlineStr">
        <is>
          <t>wacc</t>
        </is>
      </c>
    </row>
    <row r="71" ht="66" customHeight="1">
      <c r="A71" s="4" t="inlineStr">
        <is>
          <t>/Users/leonidpofa/VSCodeHruchevoPY/quant/Excel_automation/research/microsoft_fy2025/financials.csv</t>
        </is>
      </c>
      <c r="B71" s="4" t="n"/>
      <c r="C71" s="4" t="n">
        <v>2</v>
      </c>
      <c r="D71" s="4" t="inlineStr">
        <is>
          <t>monthly_recurring_revenue</t>
        </is>
      </c>
      <c r="E71" s="4" t="inlineStr">
        <is>
          <t>row 2, column monthly_recurring_revenue</t>
        </is>
      </c>
      <c r="F71" s="4" t="inlineStr">
        <is>
          <t>monthly_recurring_revenue</t>
        </is>
      </c>
      <c r="G71" s="4" t="n">
        <v>2023</v>
      </c>
      <c r="H71" s="4" t="inlineStr">
        <is>
          <t>FY</t>
        </is>
      </c>
      <c r="I71" s="4" t="inlineStr">
        <is>
          <t>consolidated</t>
        </is>
      </c>
      <c r="J71" s="4" t="inlineStr">
        <is>
          <t>USD</t>
        </is>
      </c>
      <c r="K71" s="4" t="inlineStr">
        <is>
          <t>unavailable</t>
        </is>
      </c>
      <c r="L71" s="4" t="inlineStr">
        <is>
          <t>millions</t>
        </is>
      </c>
      <c r="M71" s="4" t="n"/>
      <c r="N71" s="4" t="inlineStr">
        <is>
          <t>USD</t>
        </is>
      </c>
      <c r="O71" s="4" t="inlineStr">
        <is>
          <t>unavailable</t>
        </is>
      </c>
      <c r="P71" s="4" t="n"/>
      <c r="Q71" s="4" t="inlineStr"/>
    </row>
    <row r="72" ht="66" customHeight="1">
      <c r="A72" s="4" t="inlineStr">
        <is>
          <t>/Users/leonidpofa/VSCodeHruchevoPY/quant/Excel_automation/research/microsoft_fy2025/financials.csv</t>
        </is>
      </c>
      <c r="B72" s="4" t="n"/>
      <c r="C72" s="4" t="n">
        <v>3</v>
      </c>
      <c r="D72" s="4" t="inlineStr">
        <is>
          <t>monthly_recurring_revenue</t>
        </is>
      </c>
      <c r="E72" s="4" t="inlineStr">
        <is>
          <t>row 3, column monthly_recurring_revenue</t>
        </is>
      </c>
      <c r="F72" s="4" t="inlineStr">
        <is>
          <t>monthly_recurring_revenue</t>
        </is>
      </c>
      <c r="G72" s="4" t="n">
        <v>2024</v>
      </c>
      <c r="H72" s="4" t="inlineStr">
        <is>
          <t>FY</t>
        </is>
      </c>
      <c r="I72" s="4" t="inlineStr">
        <is>
          <t>consolidated</t>
        </is>
      </c>
      <c r="J72" s="4" t="inlineStr">
        <is>
          <t>USD</t>
        </is>
      </c>
      <c r="K72" s="4" t="inlineStr">
        <is>
          <t>unavailable</t>
        </is>
      </c>
      <c r="L72" s="4" t="inlineStr">
        <is>
          <t>millions</t>
        </is>
      </c>
      <c r="M72" s="4" t="n"/>
      <c r="N72" s="4" t="inlineStr">
        <is>
          <t>USD</t>
        </is>
      </c>
      <c r="O72" s="4" t="inlineStr">
        <is>
          <t>unavailable</t>
        </is>
      </c>
      <c r="P72" s="4" t="inlineStr">
        <is>
          <t>Inputs!B30</t>
        </is>
      </c>
      <c r="Q72" s="4" t="inlineStr"/>
    </row>
    <row r="73" ht="66" customHeight="1">
      <c r="A73" s="4" t="inlineStr">
        <is>
          <t>/Users/leonidpofa/VSCodeHruchevoPY/quant/Excel_automation/research/microsoft_fy2025/financials.csv</t>
        </is>
      </c>
      <c r="B73" s="4" t="n"/>
      <c r="C73" s="4" t="n">
        <v>4</v>
      </c>
      <c r="D73" s="4" t="inlineStr">
        <is>
          <t>monthly_recurring_revenue</t>
        </is>
      </c>
      <c r="E73" s="4" t="inlineStr">
        <is>
          <t>row 4, column monthly_recurring_revenue</t>
        </is>
      </c>
      <c r="F73" s="4" t="inlineStr">
        <is>
          <t>monthly_recurring_revenue</t>
        </is>
      </c>
      <c r="G73" s="4" t="n">
        <v>2025</v>
      </c>
      <c r="H73" s="4" t="inlineStr">
        <is>
          <t>FY</t>
        </is>
      </c>
      <c r="I73" s="4" t="inlineStr">
        <is>
          <t>consolidated</t>
        </is>
      </c>
      <c r="J73" s="4" t="inlineStr">
        <is>
          <t>USD</t>
        </is>
      </c>
      <c r="K73" s="4" t="inlineStr">
        <is>
          <t>unavailable</t>
        </is>
      </c>
      <c r="L73" s="4" t="inlineStr">
        <is>
          <t>millions</t>
        </is>
      </c>
      <c r="M73" s="4" t="n"/>
      <c r="N73" s="4" t="inlineStr">
        <is>
          <t>USD</t>
        </is>
      </c>
      <c r="O73" s="4" t="inlineStr">
        <is>
          <t>unavailable</t>
        </is>
      </c>
      <c r="P73" s="4" t="inlineStr">
        <is>
          <t>Inputs!C30</t>
        </is>
      </c>
      <c r="Q73" s="4" t="inlineStr">
        <is>
          <t>arr</t>
        </is>
      </c>
    </row>
    <row r="74" ht="66" customHeight="1">
      <c r="A74" s="4" t="inlineStr">
        <is>
          <t>/Users/leonidpofa/VSCodeHruchevoPY/quant/Excel_automation/research/microsoft_fy2025/financials.csv</t>
        </is>
      </c>
      <c r="B74" s="4" t="n"/>
      <c r="C74" s="4" t="n">
        <v>2</v>
      </c>
      <c r="D74" s="4" t="inlineStr">
        <is>
          <t>net_income</t>
        </is>
      </c>
      <c r="E74" s="4" t="inlineStr">
        <is>
          <t>row 2, column net_income</t>
        </is>
      </c>
      <c r="F74" s="4" t="inlineStr">
        <is>
          <t>net_income</t>
        </is>
      </c>
      <c r="G74" s="4" t="n">
        <v>2023</v>
      </c>
      <c r="H74" s="4" t="inlineStr">
        <is>
          <t>FY</t>
        </is>
      </c>
      <c r="I74" s="4" t="inlineStr">
        <is>
          <t>consolidated</t>
        </is>
      </c>
      <c r="J74" s="4" t="inlineStr">
        <is>
          <t>USD</t>
        </is>
      </c>
      <c r="K74" s="4" t="inlineStr">
        <is>
          <t>72361</t>
        </is>
      </c>
      <c r="L74" s="4" t="inlineStr">
        <is>
          <t>millions</t>
        </is>
      </c>
      <c r="M74" s="4" t="inlineStr">
        <is>
          <t>72361000000</t>
        </is>
      </c>
      <c r="N74" s="4" t="inlineStr">
        <is>
          <t>USD</t>
        </is>
      </c>
      <c r="O74" s="4" t="inlineStr">
        <is>
          <t>reported</t>
        </is>
      </c>
      <c r="P74" s="4" t="n"/>
      <c r="Q74" s="4" t="inlineStr"/>
    </row>
    <row r="75" ht="66" customHeight="1">
      <c r="A75" s="4" t="inlineStr">
        <is>
          <t>/Users/leonidpofa/VSCodeHruchevoPY/quant/Excel_automation/research/microsoft_fy2025/financials.csv</t>
        </is>
      </c>
      <c r="B75" s="4" t="n"/>
      <c r="C75" s="4" t="n">
        <v>3</v>
      </c>
      <c r="D75" s="4" t="inlineStr">
        <is>
          <t>net_income</t>
        </is>
      </c>
      <c r="E75" s="4" t="inlineStr">
        <is>
          <t>row 3, column net_income</t>
        </is>
      </c>
      <c r="F75" s="4" t="inlineStr">
        <is>
          <t>net_income</t>
        </is>
      </c>
      <c r="G75" s="4" t="n">
        <v>2024</v>
      </c>
      <c r="H75" s="4" t="inlineStr">
        <is>
          <t>FY</t>
        </is>
      </c>
      <c r="I75" s="4" t="inlineStr">
        <is>
          <t>consolidated</t>
        </is>
      </c>
      <c r="J75" s="4" t="inlineStr">
        <is>
          <t>USD</t>
        </is>
      </c>
      <c r="K75" s="4" t="inlineStr">
        <is>
          <t>88136</t>
        </is>
      </c>
      <c r="L75" s="4" t="inlineStr">
        <is>
          <t>millions</t>
        </is>
      </c>
      <c r="M75" s="4" t="inlineStr">
        <is>
          <t>88136000000</t>
        </is>
      </c>
      <c r="N75" s="4" t="inlineStr">
        <is>
          <t>USD</t>
        </is>
      </c>
      <c r="O75" s="4" t="inlineStr">
        <is>
          <t>reported</t>
        </is>
      </c>
      <c r="P75" s="4" t="inlineStr">
        <is>
          <t>Inputs!B14</t>
        </is>
      </c>
      <c r="Q75" s="4" t="inlineStr"/>
    </row>
    <row r="76" ht="66" customHeight="1">
      <c r="A76" s="4" t="inlineStr">
        <is>
          <t>/Users/leonidpofa/VSCodeHruchevoPY/quant/Excel_automation/research/microsoft_fy2025/financials.csv</t>
        </is>
      </c>
      <c r="B76" s="4" t="n"/>
      <c r="C76" s="4" t="n">
        <v>4</v>
      </c>
      <c r="D76" s="4" t="inlineStr">
        <is>
          <t>net_income</t>
        </is>
      </c>
      <c r="E76" s="4" t="inlineStr">
        <is>
          <t>row 4, column net_income</t>
        </is>
      </c>
      <c r="F76" s="4" t="inlineStr">
        <is>
          <t>net_income</t>
        </is>
      </c>
      <c r="G76" s="4" t="n">
        <v>2025</v>
      </c>
      <c r="H76" s="4" t="inlineStr">
        <is>
          <t>FY</t>
        </is>
      </c>
      <c r="I76" s="4" t="inlineStr">
        <is>
          <t>consolidated</t>
        </is>
      </c>
      <c r="J76" s="4" t="inlineStr">
        <is>
          <t>USD</t>
        </is>
      </c>
      <c r="K76" s="4" t="inlineStr">
        <is>
          <t>101832</t>
        </is>
      </c>
      <c r="L76" s="4" t="inlineStr">
        <is>
          <t>millions</t>
        </is>
      </c>
      <c r="M76" s="4" t="inlineStr">
        <is>
          <t>101832000000</t>
        </is>
      </c>
      <c r="N76" s="4" t="inlineStr">
        <is>
          <t>USD</t>
        </is>
      </c>
      <c r="O76" s="4" t="inlineStr">
        <is>
          <t>reported</t>
        </is>
      </c>
      <c r="P76" s="4" t="inlineStr">
        <is>
          <t>Inputs!C14</t>
        </is>
      </c>
      <c r="Q76" s="4" t="inlineStr">
        <is>
          <t>net_profit_margin, roa, roe, price_to_earnings</t>
        </is>
      </c>
    </row>
    <row r="77" ht="66" customHeight="1">
      <c r="A77" s="4" t="inlineStr">
        <is>
          <t>/Users/leonidpofa/VSCodeHruchevoPY/quant/Excel_automation/research/microsoft_fy2025/financials.csv</t>
        </is>
      </c>
      <c r="B77" s="4" t="n"/>
      <c r="C77" s="4" t="n">
        <v>2</v>
      </c>
      <c r="D77" s="4" t="inlineStr">
        <is>
          <t>pre_tax_cost_of_debt</t>
        </is>
      </c>
      <c r="E77" s="4" t="inlineStr">
        <is>
          <t>row 2, column pre_tax_cost_of_debt</t>
        </is>
      </c>
      <c r="F77" s="4" t="inlineStr">
        <is>
          <t>pre_tax_cost_of_debt</t>
        </is>
      </c>
      <c r="G77" s="4" t="n">
        <v>2023</v>
      </c>
      <c r="H77" s="4" t="inlineStr">
        <is>
          <t>FY</t>
        </is>
      </c>
      <c r="I77" s="4" t="inlineStr">
        <is>
          <t>consolidated</t>
        </is>
      </c>
      <c r="J77" s="4" t="inlineStr">
        <is>
          <t>USD</t>
        </is>
      </c>
      <c r="K77" s="4" t="inlineStr">
        <is>
          <t>unavailable</t>
        </is>
      </c>
      <c r="L77" s="4" t="inlineStr">
        <is>
          <t>ratio</t>
        </is>
      </c>
      <c r="M77" s="4" t="n"/>
      <c r="N77" s="4" t="inlineStr">
        <is>
          <t>ratio</t>
        </is>
      </c>
      <c r="O77" s="4" t="inlineStr">
        <is>
          <t>unavailable</t>
        </is>
      </c>
      <c r="P77" s="4" t="n"/>
      <c r="Q77" s="4" t="inlineStr"/>
    </row>
    <row r="78" ht="66" customHeight="1">
      <c r="A78" s="4" t="inlineStr">
        <is>
          <t>/Users/leonidpofa/VSCodeHruchevoPY/quant/Excel_automation/research/microsoft_fy2025/financials.csv</t>
        </is>
      </c>
      <c r="B78" s="4" t="n"/>
      <c r="C78" s="4" t="n">
        <v>3</v>
      </c>
      <c r="D78" s="4" t="inlineStr">
        <is>
          <t>pre_tax_cost_of_debt</t>
        </is>
      </c>
      <c r="E78" s="4" t="inlineStr">
        <is>
          <t>row 3, column pre_tax_cost_of_debt</t>
        </is>
      </c>
      <c r="F78" s="4" t="inlineStr">
        <is>
          <t>pre_tax_cost_of_debt</t>
        </is>
      </c>
      <c r="G78" s="4" t="n">
        <v>2024</v>
      </c>
      <c r="H78" s="4" t="inlineStr">
        <is>
          <t>FY</t>
        </is>
      </c>
      <c r="I78" s="4" t="inlineStr">
        <is>
          <t>consolidated</t>
        </is>
      </c>
      <c r="J78" s="4" t="inlineStr">
        <is>
          <t>USD</t>
        </is>
      </c>
      <c r="K78" s="4" t="inlineStr">
        <is>
          <t>unavailable</t>
        </is>
      </c>
      <c r="L78" s="4" t="inlineStr">
        <is>
          <t>ratio</t>
        </is>
      </c>
      <c r="M78" s="4" t="n"/>
      <c r="N78" s="4" t="inlineStr">
        <is>
          <t>ratio</t>
        </is>
      </c>
      <c r="O78" s="4" t="inlineStr">
        <is>
          <t>unavailable</t>
        </is>
      </c>
      <c r="P78" s="4" t="n"/>
      <c r="Q78" s="4" t="inlineStr"/>
    </row>
    <row r="79" ht="66" customHeight="1">
      <c r="A79" s="4" t="inlineStr">
        <is>
          <t>/Users/leonidpofa/VSCodeHruchevoPY/quant/Excel_automation/research/microsoft_fy2025/financials.csv</t>
        </is>
      </c>
      <c r="B79" s="4" t="n"/>
      <c r="C79" s="4" t="n">
        <v>4</v>
      </c>
      <c r="D79" s="4" t="inlineStr">
        <is>
          <t>pre_tax_cost_of_debt</t>
        </is>
      </c>
      <c r="E79" s="4" t="inlineStr">
        <is>
          <t>row 4, column pre_tax_cost_of_debt</t>
        </is>
      </c>
      <c r="F79" s="4" t="inlineStr">
        <is>
          <t>pre_tax_cost_of_debt</t>
        </is>
      </c>
      <c r="G79" s="4" t="n">
        <v>2025</v>
      </c>
      <c r="H79" s="4" t="inlineStr">
        <is>
          <t>FY</t>
        </is>
      </c>
      <c r="I79" s="4" t="inlineStr">
        <is>
          <t>consolidated</t>
        </is>
      </c>
      <c r="J79" s="4" t="inlineStr">
        <is>
          <t>USD</t>
        </is>
      </c>
      <c r="K79" s="4" t="inlineStr">
        <is>
          <t>unavailable</t>
        </is>
      </c>
      <c r="L79" s="4" t="inlineStr">
        <is>
          <t>ratio</t>
        </is>
      </c>
      <c r="M79" s="4" t="n"/>
      <c r="N79" s="4" t="inlineStr">
        <is>
          <t>ratio</t>
        </is>
      </c>
      <c r="O79" s="4" t="inlineStr">
        <is>
          <t>unavailable</t>
        </is>
      </c>
      <c r="P79" s="4" t="inlineStr">
        <is>
          <t>Assumptions!B6</t>
        </is>
      </c>
      <c r="Q79" s="4" t="inlineStr">
        <is>
          <t>wacc</t>
        </is>
      </c>
    </row>
    <row r="80" ht="66" customHeight="1">
      <c r="A80" s="4" t="inlineStr">
        <is>
          <t>/Users/leonidpofa/VSCodeHruchevoPY/quant/Excel_automation/research/microsoft_fy2025/financials.csv</t>
        </is>
      </c>
      <c r="B80" s="4" t="n"/>
      <c r="C80" s="4" t="n">
        <v>2</v>
      </c>
      <c r="D80" s="4" t="inlineStr">
        <is>
          <t>revenue</t>
        </is>
      </c>
      <c r="E80" s="4" t="inlineStr">
        <is>
          <t>row 2, column revenue</t>
        </is>
      </c>
      <c r="F80" s="4" t="inlineStr">
        <is>
          <t>revenue</t>
        </is>
      </c>
      <c r="G80" s="4" t="n">
        <v>2023</v>
      </c>
      <c r="H80" s="4" t="inlineStr">
        <is>
          <t>FY</t>
        </is>
      </c>
      <c r="I80" s="4" t="inlineStr">
        <is>
          <t>consolidated</t>
        </is>
      </c>
      <c r="J80" s="4" t="inlineStr">
        <is>
          <t>USD</t>
        </is>
      </c>
      <c r="K80" s="4" t="inlineStr">
        <is>
          <t>211915</t>
        </is>
      </c>
      <c r="L80" s="4" t="inlineStr">
        <is>
          <t>millions</t>
        </is>
      </c>
      <c r="M80" s="4" t="inlineStr">
        <is>
          <t>211915000000</t>
        </is>
      </c>
      <c r="N80" s="4" t="inlineStr">
        <is>
          <t>USD</t>
        </is>
      </c>
      <c r="O80" s="4" t="inlineStr">
        <is>
          <t>reported</t>
        </is>
      </c>
      <c r="P80" s="4" t="inlineStr">
        <is>
          <t>Inputs!D7</t>
        </is>
      </c>
      <c r="Q80" s="4" t="inlineStr">
        <is>
          <t>revenue_cagr</t>
        </is>
      </c>
    </row>
    <row r="81" ht="66" customHeight="1">
      <c r="A81" s="4" t="inlineStr">
        <is>
          <t>/Users/leonidpofa/VSCodeHruchevoPY/quant/Excel_automation/research/microsoft_fy2025/financials.csv</t>
        </is>
      </c>
      <c r="B81" s="4" t="n"/>
      <c r="C81" s="4" t="n">
        <v>3</v>
      </c>
      <c r="D81" s="4" t="inlineStr">
        <is>
          <t>revenue</t>
        </is>
      </c>
      <c r="E81" s="4" t="inlineStr">
        <is>
          <t>row 3, column revenue</t>
        </is>
      </c>
      <c r="F81" s="4" t="inlineStr">
        <is>
          <t>revenue</t>
        </is>
      </c>
      <c r="G81" s="4" t="n">
        <v>2024</v>
      </c>
      <c r="H81" s="4" t="inlineStr">
        <is>
          <t>FY</t>
        </is>
      </c>
      <c r="I81" s="4" t="inlineStr">
        <is>
          <t>consolidated</t>
        </is>
      </c>
      <c r="J81" s="4" t="inlineStr">
        <is>
          <t>USD</t>
        </is>
      </c>
      <c r="K81" s="4" t="inlineStr">
        <is>
          <t>245122</t>
        </is>
      </c>
      <c r="L81" s="4" t="inlineStr">
        <is>
          <t>millions</t>
        </is>
      </c>
      <c r="M81" s="4" t="inlineStr">
        <is>
          <t>245122000000</t>
        </is>
      </c>
      <c r="N81" s="4" t="inlineStr">
        <is>
          <t>USD</t>
        </is>
      </c>
      <c r="O81" s="4" t="inlineStr">
        <is>
          <t>reported</t>
        </is>
      </c>
      <c r="P81" s="4" t="inlineStr">
        <is>
          <t>Inputs!B7</t>
        </is>
      </c>
      <c r="Q81" s="4" t="inlineStr">
        <is>
          <t>revenue_growth_yoy</t>
        </is>
      </c>
    </row>
    <row r="82" ht="66" customHeight="1">
      <c r="A82" s="4" t="inlineStr">
        <is>
          <t>/Users/leonidpofa/VSCodeHruchevoPY/quant/Excel_automation/research/microsoft_fy2025/financials.csv</t>
        </is>
      </c>
      <c r="B82" s="4" t="n"/>
      <c r="C82" s="4" t="n">
        <v>4</v>
      </c>
      <c r="D82" s="4" t="inlineStr">
        <is>
          <t>revenue</t>
        </is>
      </c>
      <c r="E82" s="4" t="inlineStr">
        <is>
          <t>row 4, column revenue</t>
        </is>
      </c>
      <c r="F82" s="4" t="inlineStr">
        <is>
          <t>revenue</t>
        </is>
      </c>
      <c r="G82" s="4" t="n">
        <v>2025</v>
      </c>
      <c r="H82" s="4" t="inlineStr">
        <is>
          <t>FY</t>
        </is>
      </c>
      <c r="I82" s="4" t="inlineStr">
        <is>
          <t>consolidated</t>
        </is>
      </c>
      <c r="J82" s="4" t="inlineStr">
        <is>
          <t>USD</t>
        </is>
      </c>
      <c r="K82" s="4" t="inlineStr">
        <is>
          <t>281724</t>
        </is>
      </c>
      <c r="L82" s="4" t="inlineStr">
        <is>
          <t>millions</t>
        </is>
      </c>
      <c r="M82" s="4" t="inlineStr">
        <is>
          <t>281724000000</t>
        </is>
      </c>
      <c r="N82" s="4" t="inlineStr">
        <is>
          <t>USD</t>
        </is>
      </c>
      <c r="O82" s="4" t="inlineStr">
        <is>
          <t>reported</t>
        </is>
      </c>
      <c r="P82" s="4" t="inlineStr">
        <is>
          <t>Inputs!C7</t>
        </is>
      </c>
      <c r="Q82" s="4" t="inlineStr">
        <is>
          <t>revenue_growth_yoy, ebitda_margin, gross_margin, ebit_margin, net_profit_margin, fcf_margin, ev_to_revenue, revenue_cagr, dso, cash_conversion_cycle</t>
        </is>
      </c>
    </row>
    <row r="83" ht="66" customHeight="1">
      <c r="A83" s="4" t="inlineStr">
        <is>
          <t>/Users/leonidpofa/VSCodeHruchevoPY/quant/Excel_automation/research/microsoft_fy2025/financials.csv</t>
        </is>
      </c>
      <c r="B83" s="4" t="n"/>
      <c r="C83" s="4" t="n">
        <v>2</v>
      </c>
      <c r="D83" s="4" t="inlineStr">
        <is>
          <t>risk_free_rate</t>
        </is>
      </c>
      <c r="E83" s="4" t="inlineStr">
        <is>
          <t>row 2, column risk_free_rate</t>
        </is>
      </c>
      <c r="F83" s="4" t="inlineStr">
        <is>
          <t>risk_free_rate</t>
        </is>
      </c>
      <c r="G83" s="4" t="n">
        <v>2023</v>
      </c>
      <c r="H83" s="4" t="inlineStr">
        <is>
          <t>FY</t>
        </is>
      </c>
      <c r="I83" s="4" t="inlineStr">
        <is>
          <t>consolidated</t>
        </is>
      </c>
      <c r="J83" s="4" t="inlineStr">
        <is>
          <t>USD</t>
        </is>
      </c>
      <c r="K83" s="4" t="inlineStr">
        <is>
          <t>unavailable</t>
        </is>
      </c>
      <c r="L83" s="4" t="inlineStr">
        <is>
          <t>ratio</t>
        </is>
      </c>
      <c r="M83" s="4" t="n"/>
      <c r="N83" s="4" t="inlineStr">
        <is>
          <t>ratio</t>
        </is>
      </c>
      <c r="O83" s="4" t="inlineStr">
        <is>
          <t>unavailable</t>
        </is>
      </c>
      <c r="P83" s="4" t="n"/>
      <c r="Q83" s="4" t="inlineStr"/>
    </row>
    <row r="84" ht="66" customHeight="1">
      <c r="A84" s="4" t="inlineStr">
        <is>
          <t>/Users/leonidpofa/VSCodeHruchevoPY/quant/Excel_automation/research/microsoft_fy2025/financials.csv</t>
        </is>
      </c>
      <c r="B84" s="4" t="n"/>
      <c r="C84" s="4" t="n">
        <v>3</v>
      </c>
      <c r="D84" s="4" t="inlineStr">
        <is>
          <t>risk_free_rate</t>
        </is>
      </c>
      <c r="E84" s="4" t="inlineStr">
        <is>
          <t>row 3, column risk_free_rate</t>
        </is>
      </c>
      <c r="F84" s="4" t="inlineStr">
        <is>
          <t>risk_free_rate</t>
        </is>
      </c>
      <c r="G84" s="4" t="n">
        <v>2024</v>
      </c>
      <c r="H84" s="4" t="inlineStr">
        <is>
          <t>FY</t>
        </is>
      </c>
      <c r="I84" s="4" t="inlineStr">
        <is>
          <t>consolidated</t>
        </is>
      </c>
      <c r="J84" s="4" t="inlineStr">
        <is>
          <t>USD</t>
        </is>
      </c>
      <c r="K84" s="4" t="inlineStr">
        <is>
          <t>unavailable</t>
        </is>
      </c>
      <c r="L84" s="4" t="inlineStr">
        <is>
          <t>ratio</t>
        </is>
      </c>
      <c r="M84" s="4" t="n"/>
      <c r="N84" s="4" t="inlineStr">
        <is>
          <t>ratio</t>
        </is>
      </c>
      <c r="O84" s="4" t="inlineStr">
        <is>
          <t>unavailable</t>
        </is>
      </c>
      <c r="P84" s="4" t="n"/>
      <c r="Q84" s="4" t="inlineStr"/>
    </row>
    <row r="85" ht="66" customHeight="1">
      <c r="A85" s="4" t="inlineStr">
        <is>
          <t>/Users/leonidpofa/VSCodeHruchevoPY/quant/Excel_automation/research/microsoft_fy2025/financials.csv</t>
        </is>
      </c>
      <c r="B85" s="4" t="n"/>
      <c r="C85" s="4" t="n">
        <v>4</v>
      </c>
      <c r="D85" s="4" t="inlineStr">
        <is>
          <t>risk_free_rate</t>
        </is>
      </c>
      <c r="E85" s="4" t="inlineStr">
        <is>
          <t>row 4, column risk_free_rate</t>
        </is>
      </c>
      <c r="F85" s="4" t="inlineStr">
        <is>
          <t>risk_free_rate</t>
        </is>
      </c>
      <c r="G85" s="4" t="n">
        <v>2025</v>
      </c>
      <c r="H85" s="4" t="inlineStr">
        <is>
          <t>FY</t>
        </is>
      </c>
      <c r="I85" s="4" t="inlineStr">
        <is>
          <t>consolidated</t>
        </is>
      </c>
      <c r="J85" s="4" t="inlineStr">
        <is>
          <t>USD</t>
        </is>
      </c>
      <c r="K85" s="4" t="inlineStr">
        <is>
          <t>unavailable</t>
        </is>
      </c>
      <c r="L85" s="4" t="inlineStr">
        <is>
          <t>ratio</t>
        </is>
      </c>
      <c r="M85" s="4" t="n"/>
      <c r="N85" s="4" t="inlineStr">
        <is>
          <t>ratio</t>
        </is>
      </c>
      <c r="O85" s="4" t="inlineStr">
        <is>
          <t>unavailable</t>
        </is>
      </c>
      <c r="P85" s="4" t="inlineStr">
        <is>
          <t>Assumptions!B7</t>
        </is>
      </c>
      <c r="Q85" s="4" t="inlineStr">
        <is>
          <t>wacc</t>
        </is>
      </c>
    </row>
    <row r="86" ht="66" customHeight="1">
      <c r="A86" s="4" t="inlineStr">
        <is>
          <t>/Users/leonidpofa/VSCodeHruchevoPY/quant/Excel_automation/research/microsoft_fy2025/financials.csv</t>
        </is>
      </c>
      <c r="B86" s="4" t="n"/>
      <c r="C86" s="4" t="n">
        <v>2</v>
      </c>
      <c r="D86" s="4" t="inlineStr">
        <is>
          <t>share_price</t>
        </is>
      </c>
      <c r="E86" s="4" t="inlineStr">
        <is>
          <t>row 2, column share_price</t>
        </is>
      </c>
      <c r="F86" s="4" t="inlineStr">
        <is>
          <t>share_price</t>
        </is>
      </c>
      <c r="G86" s="4" t="n">
        <v>2023</v>
      </c>
      <c r="H86" s="4" t="inlineStr">
        <is>
          <t>FY</t>
        </is>
      </c>
      <c r="I86" s="4" t="inlineStr">
        <is>
          <t>consolidated</t>
        </is>
      </c>
      <c r="J86" s="4" t="inlineStr">
        <is>
          <t>USD</t>
        </is>
      </c>
      <c r="K86" s="4" t="inlineStr">
        <is>
          <t>unavailable</t>
        </is>
      </c>
      <c r="L86" s="4" t="inlineStr">
        <is>
          <t>USD/share</t>
        </is>
      </c>
      <c r="M86" s="4" t="n"/>
      <c r="N86" s="4" t="inlineStr">
        <is>
          <t>USD/share</t>
        </is>
      </c>
      <c r="O86" s="4" t="inlineStr">
        <is>
          <t>unavailable</t>
        </is>
      </c>
      <c r="P86" s="4" t="n"/>
      <c r="Q86" s="4" t="inlineStr"/>
    </row>
    <row r="87" ht="66" customHeight="1">
      <c r="A87" s="4" t="inlineStr">
        <is>
          <t>/Users/leonidpofa/VSCodeHruchevoPY/quant/Excel_automation/research/microsoft_fy2025/financials.csv</t>
        </is>
      </c>
      <c r="B87" s="4" t="n"/>
      <c r="C87" s="4" t="n">
        <v>3</v>
      </c>
      <c r="D87" s="4" t="inlineStr">
        <is>
          <t>share_price</t>
        </is>
      </c>
      <c r="E87" s="4" t="inlineStr">
        <is>
          <t>row 3, column share_price</t>
        </is>
      </c>
      <c r="F87" s="4" t="inlineStr">
        <is>
          <t>share_price</t>
        </is>
      </c>
      <c r="G87" s="4" t="n">
        <v>2024</v>
      </c>
      <c r="H87" s="4" t="inlineStr">
        <is>
          <t>FY</t>
        </is>
      </c>
      <c r="I87" s="4" t="inlineStr">
        <is>
          <t>consolidated</t>
        </is>
      </c>
      <c r="J87" s="4" t="inlineStr">
        <is>
          <t>USD</t>
        </is>
      </c>
      <c r="K87" s="4" t="inlineStr">
        <is>
          <t>unavailable</t>
        </is>
      </c>
      <c r="L87" s="4" t="inlineStr">
        <is>
          <t>USD/share</t>
        </is>
      </c>
      <c r="M87" s="4" t="n"/>
      <c r="N87" s="4" t="inlineStr">
        <is>
          <t>USD/share</t>
        </is>
      </c>
      <c r="O87" s="4" t="inlineStr">
        <is>
          <t>unavailable</t>
        </is>
      </c>
      <c r="P87" s="4" t="inlineStr">
        <is>
          <t>Inputs!B28</t>
        </is>
      </c>
      <c r="Q87" s="4" t="inlineStr"/>
    </row>
    <row r="88" ht="66" customHeight="1">
      <c r="A88" s="4" t="inlineStr">
        <is>
          <t>/Users/leonidpofa/VSCodeHruchevoPY/quant/Excel_automation/research/microsoft_fy2025/financials.csv</t>
        </is>
      </c>
      <c r="B88" s="4" t="n"/>
      <c r="C88" s="4" t="n">
        <v>4</v>
      </c>
      <c r="D88" s="4" t="inlineStr">
        <is>
          <t>share_price</t>
        </is>
      </c>
      <c r="E88" s="4" t="inlineStr">
        <is>
          <t>row 4, column share_price</t>
        </is>
      </c>
      <c r="F88" s="4" t="inlineStr">
        <is>
          <t>share_price</t>
        </is>
      </c>
      <c r="G88" s="4" t="n">
        <v>2025</v>
      </c>
      <c r="H88" s="4" t="inlineStr">
        <is>
          <t>FY</t>
        </is>
      </c>
      <c r="I88" s="4" t="inlineStr">
        <is>
          <t>consolidated</t>
        </is>
      </c>
      <c r="J88" s="4" t="inlineStr">
        <is>
          <t>USD</t>
        </is>
      </c>
      <c r="K88" s="4" t="inlineStr">
        <is>
          <t>unavailable</t>
        </is>
      </c>
      <c r="L88" s="4" t="inlineStr">
        <is>
          <t>USD/share</t>
        </is>
      </c>
      <c r="M88" s="4" t="n"/>
      <c r="N88" s="4" t="inlineStr">
        <is>
          <t>USD/share</t>
        </is>
      </c>
      <c r="O88" s="4" t="inlineStr">
        <is>
          <t>unavailable</t>
        </is>
      </c>
      <c r="P88" s="4" t="inlineStr">
        <is>
          <t>Inputs!C28</t>
        </is>
      </c>
      <c r="Q88" s="4" t="inlineStr"/>
    </row>
    <row r="89" ht="66" customHeight="1">
      <c r="A89" s="4" t="inlineStr">
        <is>
          <t>/Users/leonidpofa/VSCodeHruchevoPY/quant/Excel_automation/research/microsoft_fy2025/financials.csv</t>
        </is>
      </c>
      <c r="B89" s="4" t="n"/>
      <c r="C89" s="4" t="n">
        <v>2</v>
      </c>
      <c r="D89" s="4" t="inlineStr">
        <is>
          <t>shares_outstanding</t>
        </is>
      </c>
      <c r="E89" s="4" t="inlineStr">
        <is>
          <t>row 2, column shares_outstanding</t>
        </is>
      </c>
      <c r="F89" s="4" t="inlineStr">
        <is>
          <t>shares_outstanding</t>
        </is>
      </c>
      <c r="G89" s="4" t="n">
        <v>2023</v>
      </c>
      <c r="H89" s="4" t="inlineStr">
        <is>
          <t>FY</t>
        </is>
      </c>
      <c r="I89" s="4" t="inlineStr">
        <is>
          <t>consolidated</t>
        </is>
      </c>
      <c r="J89" s="4" t="inlineStr">
        <is>
          <t>USD</t>
        </is>
      </c>
      <c r="K89" s="4" t="inlineStr">
        <is>
          <t>7432000000</t>
        </is>
      </c>
      <c r="L89" s="4" t="inlineStr">
        <is>
          <t>count</t>
        </is>
      </c>
      <c r="M89" s="4" t="inlineStr">
        <is>
          <t>7432000000</t>
        </is>
      </c>
      <c r="N89" s="4" t="inlineStr">
        <is>
          <t>count</t>
        </is>
      </c>
      <c r="O89" s="4" t="inlineStr">
        <is>
          <t>reported</t>
        </is>
      </c>
      <c r="P89" s="4" t="n"/>
      <c r="Q89" s="4" t="inlineStr"/>
    </row>
    <row r="90" ht="66" customHeight="1">
      <c r="A90" s="4" t="inlineStr">
        <is>
          <t>/Users/leonidpofa/VSCodeHruchevoPY/quant/Excel_automation/research/microsoft_fy2025/financials.csv</t>
        </is>
      </c>
      <c r="B90" s="4" t="n"/>
      <c r="C90" s="4" t="n">
        <v>3</v>
      </c>
      <c r="D90" s="4" t="inlineStr">
        <is>
          <t>shares_outstanding</t>
        </is>
      </c>
      <c r="E90" s="4" t="inlineStr">
        <is>
          <t>row 3, column shares_outstanding</t>
        </is>
      </c>
      <c r="F90" s="4" t="inlineStr">
        <is>
          <t>shares_outstanding</t>
        </is>
      </c>
      <c r="G90" s="4" t="n">
        <v>2024</v>
      </c>
      <c r="H90" s="4" t="inlineStr">
        <is>
          <t>FY</t>
        </is>
      </c>
      <c r="I90" s="4" t="inlineStr">
        <is>
          <t>consolidated</t>
        </is>
      </c>
      <c r="J90" s="4" t="inlineStr">
        <is>
          <t>USD</t>
        </is>
      </c>
      <c r="K90" s="4" t="inlineStr">
        <is>
          <t>7434000000</t>
        </is>
      </c>
      <c r="L90" s="4" t="inlineStr">
        <is>
          <t>count</t>
        </is>
      </c>
      <c r="M90" s="4" t="inlineStr">
        <is>
          <t>7434000000</t>
        </is>
      </c>
      <c r="N90" s="4" t="inlineStr">
        <is>
          <t>count</t>
        </is>
      </c>
      <c r="O90" s="4" t="inlineStr">
        <is>
          <t>reported</t>
        </is>
      </c>
      <c r="P90" s="4" t="inlineStr">
        <is>
          <t>Inputs!B29</t>
        </is>
      </c>
      <c r="Q90" s="4" t="inlineStr"/>
    </row>
    <row r="91" ht="66" customHeight="1">
      <c r="A91" s="4" t="inlineStr">
        <is>
          <t>/Users/leonidpofa/VSCodeHruchevoPY/quant/Excel_automation/research/microsoft_fy2025/financials.csv</t>
        </is>
      </c>
      <c r="B91" s="4" t="n"/>
      <c r="C91" s="4" t="n">
        <v>4</v>
      </c>
      <c r="D91" s="4" t="inlineStr">
        <is>
          <t>shares_outstanding</t>
        </is>
      </c>
      <c r="E91" s="4" t="inlineStr">
        <is>
          <t>row 4, column shares_outstanding</t>
        </is>
      </c>
      <c r="F91" s="4" t="inlineStr">
        <is>
          <t>shares_outstanding</t>
        </is>
      </c>
      <c r="G91" s="4" t="n">
        <v>2025</v>
      </c>
      <c r="H91" s="4" t="inlineStr">
        <is>
          <t>FY</t>
        </is>
      </c>
      <c r="I91" s="4" t="inlineStr">
        <is>
          <t>consolidated</t>
        </is>
      </c>
      <c r="J91" s="4" t="inlineStr">
        <is>
          <t>USD</t>
        </is>
      </c>
      <c r="K91" s="4" t="inlineStr">
        <is>
          <t>7434000000</t>
        </is>
      </c>
      <c r="L91" s="4" t="inlineStr">
        <is>
          <t>count</t>
        </is>
      </c>
      <c r="M91" s="4" t="inlineStr">
        <is>
          <t>7434000000</t>
        </is>
      </c>
      <c r="N91" s="4" t="inlineStr">
        <is>
          <t>count</t>
        </is>
      </c>
      <c r="O91" s="4" t="inlineStr">
        <is>
          <t>reported</t>
        </is>
      </c>
      <c r="P91" s="4" t="inlineStr">
        <is>
          <t>Inputs!C29</t>
        </is>
      </c>
      <c r="Q91" s="4" t="inlineStr"/>
    </row>
    <row r="92" ht="66" customHeight="1">
      <c r="A92" s="4" t="inlineStr">
        <is>
          <t>/Users/leonidpofa/VSCodeHruchevoPY/quant/Excel_automation/research/microsoft_fy2025/financials.csv</t>
        </is>
      </c>
      <c r="B92" s="4" t="n"/>
      <c r="C92" s="4" t="n">
        <v>2</v>
      </c>
      <c r="D92" s="4" t="inlineStr">
        <is>
          <t>total_assets</t>
        </is>
      </c>
      <c r="E92" s="4" t="inlineStr">
        <is>
          <t>row 2, column total_assets</t>
        </is>
      </c>
      <c r="F92" s="4" t="inlineStr">
        <is>
          <t>total_assets</t>
        </is>
      </c>
      <c r="G92" s="4" t="n">
        <v>2023</v>
      </c>
      <c r="H92" s="4" t="inlineStr">
        <is>
          <t>FY</t>
        </is>
      </c>
      <c r="I92" s="4" t="inlineStr">
        <is>
          <t>consolidated</t>
        </is>
      </c>
      <c r="J92" s="4" t="inlineStr">
        <is>
          <t>USD</t>
        </is>
      </c>
      <c r="K92" s="4" t="inlineStr"/>
      <c r="L92" s="4" t="inlineStr">
        <is>
          <t>millions</t>
        </is>
      </c>
      <c r="M92" s="4" t="n"/>
      <c r="N92" s="4" t="inlineStr">
        <is>
          <t>USD</t>
        </is>
      </c>
      <c r="O92" s="4" t="inlineStr">
        <is>
          <t>missing</t>
        </is>
      </c>
      <c r="P92" s="4" t="n"/>
      <c r="Q92" s="4" t="inlineStr"/>
    </row>
    <row r="93" ht="66" customHeight="1">
      <c r="A93" s="4" t="inlineStr">
        <is>
          <t>/Users/leonidpofa/VSCodeHruchevoPY/quant/Excel_automation/research/microsoft_fy2025/financials.csv</t>
        </is>
      </c>
      <c r="B93" s="4" t="n"/>
      <c r="C93" s="4" t="n">
        <v>3</v>
      </c>
      <c r="D93" s="4" t="inlineStr">
        <is>
          <t>total_assets</t>
        </is>
      </c>
      <c r="E93" s="4" t="inlineStr">
        <is>
          <t>row 3, column total_assets</t>
        </is>
      </c>
      <c r="F93" s="4" t="inlineStr">
        <is>
          <t>total_assets</t>
        </is>
      </c>
      <c r="G93" s="4" t="n">
        <v>2024</v>
      </c>
      <c r="H93" s="4" t="inlineStr">
        <is>
          <t>FY</t>
        </is>
      </c>
      <c r="I93" s="4" t="inlineStr">
        <is>
          <t>consolidated</t>
        </is>
      </c>
      <c r="J93" s="4" t="inlineStr">
        <is>
          <t>USD</t>
        </is>
      </c>
      <c r="K93" s="4" t="inlineStr">
        <is>
          <t>512163</t>
        </is>
      </c>
      <c r="L93" s="4" t="inlineStr">
        <is>
          <t>millions</t>
        </is>
      </c>
      <c r="M93" s="4" t="inlineStr">
        <is>
          <t>512163000000</t>
        </is>
      </c>
      <c r="N93" s="4" t="inlineStr">
        <is>
          <t>USD</t>
        </is>
      </c>
      <c r="O93" s="4" t="inlineStr">
        <is>
          <t>reported</t>
        </is>
      </c>
      <c r="P93" s="4" t="inlineStr">
        <is>
          <t>Inputs!B20</t>
        </is>
      </c>
      <c r="Q93" s="4" t="inlineStr">
        <is>
          <t>roa</t>
        </is>
      </c>
    </row>
    <row r="94" ht="66" customHeight="1">
      <c r="A94" s="4" t="inlineStr">
        <is>
          <t>/Users/leonidpofa/VSCodeHruchevoPY/quant/Excel_automation/research/microsoft_fy2025/financials.csv</t>
        </is>
      </c>
      <c r="B94" s="4" t="n"/>
      <c r="C94" s="4" t="n">
        <v>4</v>
      </c>
      <c r="D94" s="4" t="inlineStr">
        <is>
          <t>total_assets</t>
        </is>
      </c>
      <c r="E94" s="4" t="inlineStr">
        <is>
          <t>row 4, column total_assets</t>
        </is>
      </c>
      <c r="F94" s="4" t="inlineStr">
        <is>
          <t>total_assets</t>
        </is>
      </c>
      <c r="G94" s="4" t="n">
        <v>2025</v>
      </c>
      <c r="H94" s="4" t="inlineStr">
        <is>
          <t>FY</t>
        </is>
      </c>
      <c r="I94" s="4" t="inlineStr">
        <is>
          <t>consolidated</t>
        </is>
      </c>
      <c r="J94" s="4" t="inlineStr">
        <is>
          <t>USD</t>
        </is>
      </c>
      <c r="K94" s="4" t="inlineStr">
        <is>
          <t>619003</t>
        </is>
      </c>
      <c r="L94" s="4" t="inlineStr">
        <is>
          <t>millions</t>
        </is>
      </c>
      <c r="M94" s="4" t="inlineStr">
        <is>
          <t>619003000000</t>
        </is>
      </c>
      <c r="N94" s="4" t="inlineStr">
        <is>
          <t>USD</t>
        </is>
      </c>
      <c r="O94" s="4" t="inlineStr">
        <is>
          <t>reported</t>
        </is>
      </c>
      <c r="P94" s="4" t="inlineStr">
        <is>
          <t>Inputs!C20</t>
        </is>
      </c>
      <c r="Q94" s="4" t="inlineStr">
        <is>
          <t>roa</t>
        </is>
      </c>
    </row>
    <row r="95" ht="66" customHeight="1">
      <c r="A95" s="4" t="inlineStr">
        <is>
          <t>/Users/leonidpofa/VSCodeHruchevoPY/quant/Excel_automation/research/microsoft_fy2025/financials.csv</t>
        </is>
      </c>
      <c r="B95" s="4" t="n"/>
      <c r="C95" s="4" t="n">
        <v>2</v>
      </c>
      <c r="D95" s="4" t="inlineStr">
        <is>
          <t>total_debt</t>
        </is>
      </c>
      <c r="E95" s="4" t="inlineStr">
        <is>
          <t>row 2, column total_debt</t>
        </is>
      </c>
      <c r="F95" s="4" t="inlineStr">
        <is>
          <t>total_debt</t>
        </is>
      </c>
      <c r="G95" s="4" t="n">
        <v>2023</v>
      </c>
      <c r="H95" s="4" t="inlineStr">
        <is>
          <t>FY</t>
        </is>
      </c>
      <c r="I95" s="4" t="inlineStr">
        <is>
          <t>consolidated</t>
        </is>
      </c>
      <c r="J95" s="4" t="inlineStr">
        <is>
          <t>USD</t>
        </is>
      </c>
      <c r="K95" s="4" t="inlineStr"/>
      <c r="L95" s="4" t="inlineStr">
        <is>
          <t>millions</t>
        </is>
      </c>
      <c r="M95" s="4" t="n"/>
      <c r="N95" s="4" t="inlineStr">
        <is>
          <t>USD</t>
        </is>
      </c>
      <c r="O95" s="4" t="inlineStr">
        <is>
          <t>missing</t>
        </is>
      </c>
      <c r="P95" s="4" t="n"/>
      <c r="Q95" s="4" t="inlineStr"/>
    </row>
    <row r="96" ht="66" customHeight="1">
      <c r="A96" s="4" t="inlineStr">
        <is>
          <t>/Users/leonidpofa/VSCodeHruchevoPY/quant/Excel_automation/research/microsoft_fy2025/financials.csv</t>
        </is>
      </c>
      <c r="B96" s="4" t="n"/>
      <c r="C96" s="4" t="n">
        <v>3</v>
      </c>
      <c r="D96" s="4" t="inlineStr">
        <is>
          <t>total_debt</t>
        </is>
      </c>
      <c r="E96" s="4" t="inlineStr">
        <is>
          <t>row 3, column total_debt</t>
        </is>
      </c>
      <c r="F96" s="4" t="inlineStr">
        <is>
          <t>total_debt</t>
        </is>
      </c>
      <c r="G96" s="4" t="n">
        <v>2024</v>
      </c>
      <c r="H96" s="4" t="inlineStr">
        <is>
          <t>FY</t>
        </is>
      </c>
      <c r="I96" s="4" t="inlineStr">
        <is>
          <t>consolidated</t>
        </is>
      </c>
      <c r="J96" s="4" t="inlineStr">
        <is>
          <t>USD</t>
        </is>
      </c>
      <c r="K96" s="4" t="inlineStr">
        <is>
          <t>51630</t>
        </is>
      </c>
      <c r="L96" s="4" t="inlineStr">
        <is>
          <t>millions</t>
        </is>
      </c>
      <c r="M96" s="4" t="inlineStr">
        <is>
          <t>51630000000</t>
        </is>
      </c>
      <c r="N96" s="4" t="inlineStr">
        <is>
          <t>USD</t>
        </is>
      </c>
      <c r="O96" s="4" t="inlineStr">
        <is>
          <t>reported</t>
        </is>
      </c>
      <c r="P96" s="4" t="inlineStr">
        <is>
          <t>Inputs!B9</t>
        </is>
      </c>
      <c r="Q96" s="4" t="inlineStr">
        <is>
          <t>net_leverage_trend</t>
        </is>
      </c>
    </row>
    <row r="97" ht="66" customHeight="1">
      <c r="A97" s="4" t="inlineStr">
        <is>
          <t>/Users/leonidpofa/VSCodeHruchevoPY/quant/Excel_automation/research/microsoft_fy2025/financials.csv</t>
        </is>
      </c>
      <c r="B97" s="4" t="n"/>
      <c r="C97" s="4" t="n">
        <v>4</v>
      </c>
      <c r="D97" s="4" t="inlineStr">
        <is>
          <t>total_debt</t>
        </is>
      </c>
      <c r="E97" s="4" t="inlineStr">
        <is>
          <t>row 4, column total_debt</t>
        </is>
      </c>
      <c r="F97" s="4" t="inlineStr">
        <is>
          <t>total_debt</t>
        </is>
      </c>
      <c r="G97" s="4" t="n">
        <v>2025</v>
      </c>
      <c r="H97" s="4" t="inlineStr">
        <is>
          <t>FY</t>
        </is>
      </c>
      <c r="I97" s="4" t="inlineStr">
        <is>
          <t>consolidated</t>
        </is>
      </c>
      <c r="J97" s="4" t="inlineStr">
        <is>
          <t>USD</t>
        </is>
      </c>
      <c r="K97" s="4" t="inlineStr">
        <is>
          <t>43151</t>
        </is>
      </c>
      <c r="L97" s="4" t="inlineStr">
        <is>
          <t>millions</t>
        </is>
      </c>
      <c r="M97" s="4" t="inlineStr">
        <is>
          <t>43151000000</t>
        </is>
      </c>
      <c r="N97" s="4" t="inlineStr">
        <is>
          <t>USD</t>
        </is>
      </c>
      <c r="O97" s="4" t="inlineStr">
        <is>
          <t>reported</t>
        </is>
      </c>
      <c r="P97" s="4" t="inlineStr">
        <is>
          <t>Inputs!C9</t>
        </is>
      </c>
      <c r="Q97" s="4" t="inlineStr">
        <is>
          <t>net_debt, net_debt_to_ebitda, enterprise_value, ev_to_revenue, ev_to_ebitda, net_leverage_trend</t>
        </is>
      </c>
    </row>
    <row r="98" ht="66" customHeight="1">
      <c r="A98" s="4" t="inlineStr">
        <is>
          <t>/Users/leonidpofa/VSCodeHruchevoPY/quant/Excel_automation/research/microsoft_fy2025/financials.csv</t>
        </is>
      </c>
      <c r="B98" s="4" t="n"/>
      <c r="C98" s="4" t="n">
        <v>2</v>
      </c>
      <c r="D98" s="4" t="inlineStr">
        <is>
          <t>total_equity</t>
        </is>
      </c>
      <c r="E98" s="4" t="inlineStr">
        <is>
          <t>row 2, column total_equity</t>
        </is>
      </c>
      <c r="F98" s="4" t="inlineStr">
        <is>
          <t>total_equity</t>
        </is>
      </c>
      <c r="G98" s="4" t="n">
        <v>2023</v>
      </c>
      <c r="H98" s="4" t="inlineStr">
        <is>
          <t>FY</t>
        </is>
      </c>
      <c r="I98" s="4" t="inlineStr">
        <is>
          <t>consolidated</t>
        </is>
      </c>
      <c r="J98" s="4" t="inlineStr">
        <is>
          <t>USD</t>
        </is>
      </c>
      <c r="K98" s="4" t="inlineStr"/>
      <c r="L98" s="4" t="inlineStr">
        <is>
          <t>millions</t>
        </is>
      </c>
      <c r="M98" s="4" t="n"/>
      <c r="N98" s="4" t="inlineStr">
        <is>
          <t>USD</t>
        </is>
      </c>
      <c r="O98" s="4" t="inlineStr">
        <is>
          <t>missing</t>
        </is>
      </c>
      <c r="P98" s="4" t="n"/>
      <c r="Q98" s="4" t="inlineStr"/>
    </row>
    <row r="99" ht="66" customHeight="1">
      <c r="A99" s="4" t="inlineStr">
        <is>
          <t>/Users/leonidpofa/VSCodeHruchevoPY/quant/Excel_automation/research/microsoft_fy2025/financials.csv</t>
        </is>
      </c>
      <c r="B99" s="4" t="n"/>
      <c r="C99" s="4" t="n">
        <v>3</v>
      </c>
      <c r="D99" s="4" t="inlineStr">
        <is>
          <t>total_equity</t>
        </is>
      </c>
      <c r="E99" s="4" t="inlineStr">
        <is>
          <t>row 3, column total_equity</t>
        </is>
      </c>
      <c r="F99" s="4" t="inlineStr">
        <is>
          <t>total_equity</t>
        </is>
      </c>
      <c r="G99" s="4" t="n">
        <v>2024</v>
      </c>
      <c r="H99" s="4" t="inlineStr">
        <is>
          <t>FY</t>
        </is>
      </c>
      <c r="I99" s="4" t="inlineStr">
        <is>
          <t>consolidated</t>
        </is>
      </c>
      <c r="J99" s="4" t="inlineStr">
        <is>
          <t>USD</t>
        </is>
      </c>
      <c r="K99" s="4" t="inlineStr">
        <is>
          <t>268477</t>
        </is>
      </c>
      <c r="L99" s="4" t="inlineStr">
        <is>
          <t>millions</t>
        </is>
      </c>
      <c r="M99" s="4" t="inlineStr">
        <is>
          <t>268477000000</t>
        </is>
      </c>
      <c r="N99" s="4" t="inlineStr">
        <is>
          <t>USD</t>
        </is>
      </c>
      <c r="O99" s="4" t="inlineStr">
        <is>
          <t>reported</t>
        </is>
      </c>
      <c r="P99" s="4" t="inlineStr">
        <is>
          <t>Inputs!B21</t>
        </is>
      </c>
      <c r="Q99" s="4" t="inlineStr">
        <is>
          <t>roe</t>
        </is>
      </c>
    </row>
    <row r="100" ht="66" customHeight="1">
      <c r="A100" s="4" t="inlineStr">
        <is>
          <t>/Users/leonidpofa/VSCodeHruchevoPY/quant/Excel_automation/research/microsoft_fy2025/financials.csv</t>
        </is>
      </c>
      <c r="B100" s="4" t="n"/>
      <c r="C100" s="4" t="n">
        <v>4</v>
      </c>
      <c r="D100" s="4" t="inlineStr">
        <is>
          <t>total_equity</t>
        </is>
      </c>
      <c r="E100" s="4" t="inlineStr">
        <is>
          <t>row 4, column total_equity</t>
        </is>
      </c>
      <c r="F100" s="4" t="inlineStr">
        <is>
          <t>total_equity</t>
        </is>
      </c>
      <c r="G100" s="4" t="n">
        <v>2025</v>
      </c>
      <c r="H100" s="4" t="inlineStr">
        <is>
          <t>FY</t>
        </is>
      </c>
      <c r="I100" s="4" t="inlineStr">
        <is>
          <t>consolidated</t>
        </is>
      </c>
      <c r="J100" s="4" t="inlineStr">
        <is>
          <t>USD</t>
        </is>
      </c>
      <c r="K100" s="4" t="inlineStr">
        <is>
          <t>343479</t>
        </is>
      </c>
      <c r="L100" s="4" t="inlineStr">
        <is>
          <t>millions</t>
        </is>
      </c>
      <c r="M100" s="4" t="inlineStr">
        <is>
          <t>343479000000</t>
        </is>
      </c>
      <c r="N100" s="4" t="inlineStr">
        <is>
          <t>USD</t>
        </is>
      </c>
      <c r="O100" s="4" t="inlineStr">
        <is>
          <t>reported</t>
        </is>
      </c>
      <c r="P100" s="4" t="inlineStr">
        <is>
          <t>Inputs!C21</t>
        </is>
      </c>
      <c r="Q100" s="4" t="inlineStr">
        <is>
          <t>roe</t>
        </is>
      </c>
    </row>
  </sheetData>
  <autoFilter ref="A4:Q10004"/>
  <printOptions horizontalCentered="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6" customWidth="1" min="3" max="3"/>
    <col width="80" customWidth="1" min="4" max="4"/>
    <col width="14" customWidth="1" min="5" max="5"/>
    <col width="20" customWidth="1" min="6" max="6"/>
    <col width="90" customWidth="1" min="7" max="7"/>
  </cols>
  <sheetData>
    <row r="1">
      <c r="A1" s="4" t="inlineStr">
        <is>
          <t>Template version</t>
        </is>
      </c>
      <c r="B1" s="4" t="n">
        <v>2</v>
      </c>
      <c r="C1" s="4" t="n"/>
      <c r="D1" s="4" t="n"/>
      <c r="E1" s="4" t="n"/>
      <c r="F1" s="4" t="n"/>
      <c r="G1" s="4" t="n"/>
    </row>
    <row r="2">
      <c r="A2" s="2" t="inlineStr">
        <is>
          <t>Metric definitions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>
      <c r="A4" s="3" t="inlineStr">
        <is>
          <t>Metric ID</t>
        </is>
      </c>
      <c r="B4" s="3" t="inlineStr">
        <is>
          <t>Label</t>
        </is>
      </c>
      <c r="C4" s="3" t="inlineStr">
        <is>
          <t>Formula / definition</t>
        </is>
      </c>
      <c r="D4" s="3" t="inlineStr">
        <is>
          <t>Required fields</t>
        </is>
      </c>
      <c r="E4" s="3" t="inlineStr">
        <is>
          <t>Unit</t>
        </is>
      </c>
      <c r="F4" s="3" t="inlineStr">
        <is>
          <t>Implementation</t>
        </is>
      </c>
      <c r="G4" s="3" t="inlineStr">
        <is>
          <t>Limitations</t>
        </is>
      </c>
    </row>
    <row r="5" ht="72" customHeight="1">
      <c r="A5" s="4" t="inlineStr">
        <is>
          <t>revenue_growth_yoy</t>
        </is>
      </c>
      <c r="B5" s="4" t="inlineStr">
        <is>
          <t>Revenue growth YoY</t>
        </is>
      </c>
      <c r="C5" s="4" t="inlineStr">
        <is>
          <t>Revenue FY / Revenue FY-1 - 1</t>
        </is>
      </c>
      <c r="D5" s="4" t="inlineStr">
        <is>
          <t>revenue:previous, revenue:latest</t>
        </is>
      </c>
      <c r="E5" s="4" t="inlineStr">
        <is>
          <t>%</t>
        </is>
      </c>
      <c r="F5" s="4" t="inlineStr">
        <is>
          <t>implemented</t>
        </is>
      </c>
      <c r="G5" s="4" t="inlineStr">
        <is>
          <t>Consecutive comparable fiscal years; nonzero prior revenue.</t>
        </is>
      </c>
    </row>
    <row r="6" ht="72" customHeight="1">
      <c r="A6" s="4" t="inlineStr">
        <is>
          <t>ebitda_margin</t>
        </is>
      </c>
      <c r="B6" s="4" t="inlineStr">
        <is>
          <t>EBITDA margin</t>
        </is>
      </c>
      <c r="C6" s="4" t="inlineStr">
        <is>
          <t>EBITDA / Revenue</t>
        </is>
      </c>
      <c r="D6" s="4" t="inlineStr">
        <is>
          <t>ebitda:latest, revenue:latest</t>
        </is>
      </c>
      <c r="E6" s="4" t="inlineStr">
        <is>
          <t>%</t>
        </is>
      </c>
      <c r="F6" s="4" t="inlineStr">
        <is>
          <t>implemented</t>
        </is>
      </c>
      <c r="G6" s="4" t="inlineStr">
        <is>
          <t>Same FY, scope and currency; nonzero revenue.</t>
        </is>
      </c>
    </row>
    <row r="7" ht="72" customHeight="1">
      <c r="A7" s="4" t="inlineStr">
        <is>
          <t>net_debt</t>
        </is>
      </c>
      <c r="B7" s="4" t="inlineStr">
        <is>
          <t>Net debt</t>
        </is>
      </c>
      <c r="C7" s="4" t="inlineStr">
        <is>
          <t>Total debt - Cash and equivalents</t>
        </is>
      </c>
      <c r="D7" s="4" t="inlineStr">
        <is>
          <t>total_debt:latest, cash_and_equivalents:latest</t>
        </is>
      </c>
      <c r="E7" s="4" t="inlineStr">
        <is>
          <t>currency</t>
        </is>
      </c>
      <c r="F7" s="4" t="inlineStr">
        <is>
          <t>implemented</t>
        </is>
      </c>
      <c r="G7" s="4" t="inlineStr">
        <is>
          <t>Both balances at the same fiscal year end; negative net debt is allowed.</t>
        </is>
      </c>
    </row>
    <row r="8" ht="72" customHeight="1">
      <c r="A8" s="4" t="inlineStr">
        <is>
          <t>net_debt_to_ebitda</t>
        </is>
      </c>
      <c r="B8" s="4" t="inlineStr">
        <is>
          <t>Net debt / EBITDA</t>
        </is>
      </c>
      <c r="C8" s="4" t="inlineStr">
        <is>
          <t>Net debt / EBITDA</t>
        </is>
      </c>
      <c r="D8" s="4" t="inlineStr">
        <is>
          <t>total_debt:latest, cash_and_equivalents:latest, ebitda:latest</t>
        </is>
      </c>
      <c r="E8" s="4" t="inlineStr">
        <is>
          <t>x</t>
        </is>
      </c>
      <c r="F8" s="4" t="inlineStr">
        <is>
          <t>implemented</t>
        </is>
      </c>
      <c r="G8" s="4" t="inlineStr">
        <is>
          <t>Positive annual EBITDA required.</t>
        </is>
      </c>
    </row>
    <row r="9" ht="72" customHeight="1">
      <c r="A9" s="4" t="inlineStr">
        <is>
          <t>arr</t>
        </is>
      </c>
      <c r="B9" s="4" t="inlineStr">
        <is>
          <t>ARR</t>
        </is>
      </c>
      <c r="C9" s="4" t="inlineStr">
        <is>
          <t>Explicit fiscal-year-end MRR x 12</t>
        </is>
      </c>
      <c r="D9" s="4" t="inlineStr">
        <is>
          <t>monthly_recurring_revenue:latest</t>
        </is>
      </c>
      <c r="E9" s="4" t="inlineStr">
        <is>
          <t>currency</t>
        </is>
      </c>
      <c r="F9" s="4" t="inlineStr">
        <is>
          <t>implemented</t>
        </is>
      </c>
      <c r="G9" s="4" t="inlineStr">
        <is>
          <t>Annualized recurring run rate, not recognized annual revenue. Input MRR explicitly excludes nonrecurring revenue.</t>
        </is>
      </c>
    </row>
    <row r="10" ht="72" customHeight="1">
      <c r="A10" s="4" t="inlineStr">
        <is>
          <t>wacc</t>
        </is>
      </c>
      <c r="B10" s="4" t="inlineStr">
        <is>
          <t>WACC</t>
        </is>
      </c>
      <c r="C10" s="4" t="inlineStr">
        <is>
          <t>E/(E+D)*(Rf+beta*ERP) + D/(E+D)*Kd*(1-tax)</t>
        </is>
      </c>
      <c r="D10" s="4" t="inlineStr">
        <is>
          <t>market_cap:latest, market_value_debt:latest, pre_tax_cost_of_debt:latest, risk_free_rate:latest, equity_beta:latest, equity_risk_premium:latest, marginal_tax_rate:latest</t>
        </is>
      </c>
      <c r="E10" s="4" t="inlineStr">
        <is>
          <t>%</t>
        </is>
      </c>
      <c r="F10" s="4" t="inlineStr">
        <is>
          <t>implemented</t>
        </is>
      </c>
      <c r="G10" s="4" t="inlineStr">
        <is>
          <t>Two-component CAPM model; explicit market equity/debt at FY end. Rates are decimal fractions; no book-debt substitution or inferred assumptions.</t>
        </is>
      </c>
    </row>
    <row r="11" ht="72" customHeight="1">
      <c r="A11" s="4" t="inlineStr">
        <is>
          <t>gross_margin</t>
        </is>
      </c>
      <c r="B11" s="4" t="inlineStr">
        <is>
          <t>Gross margin</t>
        </is>
      </c>
      <c r="C11" s="4" t="inlineStr">
        <is>
          <t>gross_profit / Revenue</t>
        </is>
      </c>
      <c r="D11" s="4" t="inlineStr">
        <is>
          <t>gross_profit:latest, revenue:latest</t>
        </is>
      </c>
      <c r="E11" s="4" t="inlineStr">
        <is>
          <t>%</t>
        </is>
      </c>
      <c r="F11" s="4" t="inlineStr">
        <is>
          <t>implemented</t>
        </is>
      </c>
      <c r="G11" s="4" t="inlineStr">
        <is>
          <t>Reported numerator and positive annual revenue; no inferred numerator.</t>
        </is>
      </c>
    </row>
    <row r="12" ht="72" customHeight="1">
      <c r="A12" s="4" t="inlineStr">
        <is>
          <t>ebit_margin</t>
        </is>
      </c>
      <c r="B12" s="4" t="inlineStr">
        <is>
          <t>EBIT margin</t>
        </is>
      </c>
      <c r="C12" s="4" t="inlineStr">
        <is>
          <t>ebit / Revenue</t>
        </is>
      </c>
      <c r="D12" s="4" t="inlineStr">
        <is>
          <t>ebit:latest, revenue:latest</t>
        </is>
      </c>
      <c r="E12" s="4" t="inlineStr">
        <is>
          <t>%</t>
        </is>
      </c>
      <c r="F12" s="4" t="inlineStr">
        <is>
          <t>implemented</t>
        </is>
      </c>
      <c r="G12" s="4" t="inlineStr">
        <is>
          <t>Reported numerator and positive annual revenue; no inferred numerator.</t>
        </is>
      </c>
    </row>
    <row r="13" ht="72" customHeight="1">
      <c r="A13" s="4" t="inlineStr">
        <is>
          <t>net_profit_margin</t>
        </is>
      </c>
      <c r="B13" s="4" t="inlineStr">
        <is>
          <t>Net profit margin</t>
        </is>
      </c>
      <c r="C13" s="4" t="inlineStr">
        <is>
          <t>net_income / Revenue</t>
        </is>
      </c>
      <c r="D13" s="4" t="inlineStr">
        <is>
          <t>net_income:latest, revenue:latest</t>
        </is>
      </c>
      <c r="E13" s="4" t="inlineStr">
        <is>
          <t>%</t>
        </is>
      </c>
      <c r="F13" s="4" t="inlineStr">
        <is>
          <t>implemented</t>
        </is>
      </c>
      <c r="G13" s="4" t="inlineStr">
        <is>
          <t>Reported numerator and positive annual revenue; no inferred numerator.</t>
        </is>
      </c>
    </row>
    <row r="14" ht="72" customHeight="1">
      <c r="A14" s="4" t="inlineStr">
        <is>
          <t>free_cash_flow</t>
        </is>
      </c>
      <c r="B14" s="4" t="inlineStr">
        <is>
          <t>Free cash flow</t>
        </is>
      </c>
      <c r="C14" s="4" t="inlineStr">
        <is>
          <t>Operating cash flow - positive capex spending</t>
        </is>
      </c>
      <c r="D14" s="4" t="inlineStr">
        <is>
          <t>cash_flow_from_operations:latest, capex:latest</t>
        </is>
      </c>
      <c r="E14" s="4" t="inlineStr">
        <is>
          <t>currency</t>
        </is>
      </c>
      <c r="F14" s="4" t="inlineStr">
        <is>
          <t>implemented</t>
        </is>
      </c>
      <c r="G14" s="4" t="inlineStr">
        <is>
          <t>CFO less capex spending; this is not FCFF or FCFE.</t>
        </is>
      </c>
    </row>
    <row r="15" ht="72" customHeight="1">
      <c r="A15" s="4" t="inlineStr">
        <is>
          <t>fcf_margin</t>
        </is>
      </c>
      <c r="B15" s="4" t="inlineStr">
        <is>
          <t>FCF margin</t>
        </is>
      </c>
      <c r="C15" s="4" t="inlineStr">
        <is>
          <t>Free cash flow / Revenue</t>
        </is>
      </c>
      <c r="D15" s="4" t="inlineStr">
        <is>
          <t>cash_flow_from_operations:latest, capex:latest, revenue:latest</t>
        </is>
      </c>
      <c r="E15" s="4" t="inlineStr">
        <is>
          <t>%</t>
        </is>
      </c>
      <c r="F15" s="4" t="inlineStr">
        <is>
          <t>implemented</t>
        </is>
      </c>
      <c r="G15" s="4" t="inlineStr">
        <is>
          <t>Same FY and CFO-minus-capex convention.</t>
        </is>
      </c>
    </row>
    <row r="16" ht="72" customHeight="1">
      <c r="A16" s="4" t="inlineStr">
        <is>
          <t>current_ratio</t>
        </is>
      </c>
      <c r="B16" s="4" t="inlineStr">
        <is>
          <t>Current ratio</t>
        </is>
      </c>
      <c r="C16" s="4" t="inlineStr">
        <is>
          <t>Current assets / Current liabilities</t>
        </is>
      </c>
      <c r="D16" s="4" t="inlineStr">
        <is>
          <t>current_assets:latest, current_liabilities:latest</t>
        </is>
      </c>
      <c r="E16" s="4" t="inlineStr">
        <is>
          <t>x</t>
        </is>
      </c>
      <c r="F16" s="4" t="inlineStr">
        <is>
          <t>implemented</t>
        </is>
      </c>
      <c r="G16" s="4" t="inlineStr">
        <is>
          <t>FY-end balances; current liabilities must be positive.</t>
        </is>
      </c>
    </row>
    <row r="17" ht="72" customHeight="1">
      <c r="A17" s="4" t="inlineStr">
        <is>
          <t>quick_ratio</t>
        </is>
      </c>
      <c r="B17" s="4" t="inlineStr">
        <is>
          <t>Quick ratio</t>
        </is>
      </c>
      <c r="C17" s="4" t="inlineStr">
        <is>
          <t>(Current assets - Inventory) / Current liabilities</t>
        </is>
      </c>
      <c r="D17" s="4" t="inlineStr">
        <is>
          <t>current_assets:latest, inventory:latest, current_liabilities:latest</t>
        </is>
      </c>
      <c r="E17" s="4" t="inlineStr">
        <is>
          <t>x</t>
        </is>
      </c>
      <c r="F17" s="4" t="inlineStr">
        <is>
          <t>implemented</t>
        </is>
      </c>
      <c r="G17" s="4" t="inlineStr">
        <is>
          <t>Inventory-only exclusion convention; other illiquid current assets are not separately removed.</t>
        </is>
      </c>
    </row>
    <row r="18" ht="72" customHeight="1">
      <c r="A18" s="4" t="inlineStr">
        <is>
          <t>interest_coverage</t>
        </is>
      </c>
      <c r="B18" s="4" t="inlineStr">
        <is>
          <t>Interest coverage</t>
        </is>
      </c>
      <c r="C18" s="4" t="inlineStr">
        <is>
          <t>EBIT / Interest expense</t>
        </is>
      </c>
      <c r="D18" s="4" t="inlineStr">
        <is>
          <t>ebit:latest, interest_expense:latest</t>
        </is>
      </c>
      <c r="E18" s="4" t="inlineStr">
        <is>
          <t>x</t>
        </is>
      </c>
      <c r="F18" s="4" t="inlineStr">
        <is>
          <t>implemented</t>
        </is>
      </c>
      <c r="G18" s="4" t="inlineStr">
        <is>
          <t>Positive interest expense; negative EBIT remains a negative coverage result.</t>
        </is>
      </c>
    </row>
    <row r="19" ht="72" customHeight="1">
      <c r="A19" s="4" t="inlineStr">
        <is>
          <t>roa</t>
        </is>
      </c>
      <c r="B19" s="4" t="inlineStr">
        <is>
          <t>Return on assets</t>
        </is>
      </c>
      <c r="C19" s="4" t="inlineStr">
        <is>
          <t>Net income / Average opening and closing total_assets</t>
        </is>
      </c>
      <c r="D19" s="4" t="inlineStr">
        <is>
          <t>net_income:latest, total_assets:previous, total_assets:latest</t>
        </is>
      </c>
      <c r="E19" s="4" t="inlineStr">
        <is>
          <t>%</t>
        </is>
      </c>
      <c r="F19" s="4" t="inlineStr">
        <is>
          <t>implemented</t>
        </is>
      </c>
      <c r="G19" s="4" t="inlineStr">
        <is>
          <t>Uses FY-1 and FY-end balances. Negative balance bases are excluded; average denominator must be positive.</t>
        </is>
      </c>
    </row>
    <row r="20" ht="72" customHeight="1">
      <c r="A20" s="4" t="inlineStr">
        <is>
          <t>roe</t>
        </is>
      </c>
      <c r="B20" s="4" t="inlineStr">
        <is>
          <t>Return on equity</t>
        </is>
      </c>
      <c r="C20" s="4" t="inlineStr">
        <is>
          <t>Net income / Average opening and closing total_equity</t>
        </is>
      </c>
      <c r="D20" s="4" t="inlineStr">
        <is>
          <t>net_income:latest, total_equity:previous, total_equity:latest</t>
        </is>
      </c>
      <c r="E20" s="4" t="inlineStr">
        <is>
          <t>%</t>
        </is>
      </c>
      <c r="F20" s="4" t="inlineStr">
        <is>
          <t>implemented</t>
        </is>
      </c>
      <c r="G20" s="4" t="inlineStr">
        <is>
          <t>Uses FY-1 and FY-end balances. Negative balance bases are excluded; average denominator must be positive.</t>
        </is>
      </c>
    </row>
    <row r="21" ht="72" customHeight="1">
      <c r="A21" s="4" t="inlineStr">
        <is>
          <t>enterprise_value</t>
        </is>
      </c>
      <c r="B21" s="4" t="inlineStr">
        <is>
          <t>Enterprise value (simplified)</t>
        </is>
      </c>
      <c r="C21" s="4" t="inlineStr">
        <is>
          <t>Market capitalization + reported debt - Cash</t>
        </is>
      </c>
      <c r="D21" s="4" t="inlineStr">
        <is>
          <t>market_cap:latest, total_debt:latest, cash_and_equivalents:latest</t>
        </is>
      </c>
      <c r="E21" s="4" t="inlineStr">
        <is>
          <t>currency</t>
        </is>
      </c>
      <c r="F21" s="4" t="inlineStr">
        <is>
          <t>implemented</t>
        </is>
      </c>
      <c r="G21" s="4" t="inlineStr">
        <is>
          <t>Reported debt is a proxy here. Excludes preferred stock and noncontrolling interests; market cap and balances must be at FY end.</t>
        </is>
      </c>
    </row>
    <row r="22" ht="72" customHeight="1">
      <c r="A22" s="4" t="inlineStr">
        <is>
          <t>ev_to_revenue</t>
        </is>
      </c>
      <c r="B22" s="4" t="inlineStr">
        <is>
          <t>EV / Revenue</t>
        </is>
      </c>
      <c r="C22" s="4" t="inlineStr">
        <is>
          <t>Simplified enterprise value / Annual revenue</t>
        </is>
      </c>
      <c r="D22" s="4" t="inlineStr">
        <is>
          <t>market_cap:latest, total_debt:latest, cash_and_equivalents:latest, revenue:latest</t>
        </is>
      </c>
      <c r="E22" s="4" t="inlineStr">
        <is>
          <t>x</t>
        </is>
      </c>
      <c r="F22" s="4" t="inlineStr">
        <is>
          <t>implemented</t>
        </is>
      </c>
      <c r="G22" s="4" t="inlineStr">
        <is>
          <t>Inherits simplified EV convention; denominator must be positive.</t>
        </is>
      </c>
    </row>
    <row r="23" ht="72" customHeight="1">
      <c r="A23" s="4" t="inlineStr">
        <is>
          <t>ev_to_ebitda</t>
        </is>
      </c>
      <c r="B23" s="4" t="inlineStr">
        <is>
          <t>EV / EBITDA</t>
        </is>
      </c>
      <c r="C23" s="4" t="inlineStr">
        <is>
          <t>Simplified enterprise value / Annual ebitda</t>
        </is>
      </c>
      <c r="D23" s="4" t="inlineStr">
        <is>
          <t>market_cap:latest, total_debt:latest, cash_and_equivalents:latest, ebitda:latest</t>
        </is>
      </c>
      <c r="E23" s="4" t="inlineStr">
        <is>
          <t>x</t>
        </is>
      </c>
      <c r="F23" s="4" t="inlineStr">
        <is>
          <t>implemented</t>
        </is>
      </c>
      <c r="G23" s="4" t="inlineStr">
        <is>
          <t>Inherits simplified EV convention; denominator must be positive.</t>
        </is>
      </c>
    </row>
    <row r="24" ht="72" customHeight="1">
      <c r="A24" s="4" t="inlineStr">
        <is>
          <t>price_to_earnings</t>
        </is>
      </c>
      <c r="B24" s="4" t="inlineStr">
        <is>
          <t>P/E</t>
        </is>
      </c>
      <c r="C24" s="4" t="inlineStr">
        <is>
          <t>Market capitalization / Annual net income</t>
        </is>
      </c>
      <c r="D24" s="4" t="inlineStr">
        <is>
          <t>market_cap:latest, net_income:latest</t>
        </is>
      </c>
      <c r="E24" s="4" t="inlineStr">
        <is>
          <t>x</t>
        </is>
      </c>
      <c r="F24" s="4" t="inlineStr">
        <is>
          <t>implemented</t>
        </is>
      </c>
      <c r="G24" s="4" t="inlineStr">
        <is>
          <t>Loss-making and zero-profit periods have no meaningful P/E.</t>
        </is>
      </c>
    </row>
    <row r="25" ht="72" customHeight="1">
      <c r="A25" s="4" t="inlineStr">
        <is>
          <t>revenue_cagr</t>
        </is>
      </c>
      <c r="B25" s="4" t="inlineStr">
        <is>
          <t>Revenue CAGR</t>
        </is>
      </c>
      <c r="C25" s="4" t="inlineStr">
        <is>
          <t>(revenue latest / revenue first)^(1 / elapsed fiscal years) - 1</t>
        </is>
      </c>
      <c r="D25" s="4" t="inlineStr">
        <is>
          <t>revenue:start, revenue:latest</t>
        </is>
      </c>
      <c r="E25" s="4" t="inlineStr">
        <is>
          <t>%</t>
        </is>
      </c>
      <c r="F25" s="4" t="inlineStr">
        <is>
          <t>implemented</t>
        </is>
      </c>
      <c r="G25" s="4" t="inlineStr">
        <is>
          <t>First and last presented FY, not count of rows; positive start and nonnegative end. Missing/invalid endpoints are not skipped.</t>
        </is>
      </c>
    </row>
    <row r="26" ht="72" customHeight="1">
      <c r="A26" s="4" t="inlineStr">
        <is>
          <t>ebitda_cagr</t>
        </is>
      </c>
      <c r="B26" s="4" t="inlineStr">
        <is>
          <t>EBITDA CAGR</t>
        </is>
      </c>
      <c r="C26" s="4" t="inlineStr">
        <is>
          <t>(ebitda latest / ebitda first)^(1 / elapsed fiscal years) - 1</t>
        </is>
      </c>
      <c r="D26" s="4" t="inlineStr">
        <is>
          <t>ebitda:start, ebitda:latest</t>
        </is>
      </c>
      <c r="E26" s="4" t="inlineStr">
        <is>
          <t>%</t>
        </is>
      </c>
      <c r="F26" s="4" t="inlineStr">
        <is>
          <t>implemented</t>
        </is>
      </c>
      <c r="G26" s="4" t="inlineStr">
        <is>
          <t>First and last presented FY, not count of rows; positive start and nonnegative end. Missing/invalid endpoints are not skipped.</t>
        </is>
      </c>
    </row>
    <row r="27" ht="72" customHeight="1">
      <c r="A27" s="4" t="inlineStr">
        <is>
          <t>net_leverage_trend</t>
        </is>
      </c>
      <c r="B27" s="4" t="inlineStr">
        <is>
          <t>Net leverage change YoY</t>
        </is>
      </c>
      <c r="C27" s="4" t="inlineStr">
        <is>
          <t>Latest net debt / EBITDA - Previous FY net debt / EBITDA</t>
        </is>
      </c>
      <c r="D27" s="4" t="inlineStr">
        <is>
          <t>total_debt:previous, total_debt:latest, cash_and_equivalents:previous, cash_and_equivalents:latest, ebitda:previous, ebitda:latest</t>
        </is>
      </c>
      <c r="E27" s="4" t="inlineStr">
        <is>
          <t>x</t>
        </is>
      </c>
      <c r="F27" s="4" t="inlineStr">
        <is>
          <t>implemented</t>
        </is>
      </c>
      <c r="G27" s="4" t="inlineStr">
        <is>
          <t>Change in turns, not percent; positive means increased leverage. Compares consecutive FYs.</t>
        </is>
      </c>
    </row>
    <row r="28" ht="72" customHeight="1">
      <c r="A28" s="4" t="inlineStr">
        <is>
          <t>cash_conversion</t>
        </is>
      </c>
      <c r="B28" s="4" t="inlineStr">
        <is>
          <t>Cash conversion (CFO / EBITDA)</t>
        </is>
      </c>
      <c r="C28" s="4" t="inlineStr">
        <is>
          <t>Operating cash flow / EBITDA</t>
        </is>
      </c>
      <c r="D28" s="4" t="inlineStr">
        <is>
          <t>cash_flow_from_operations:latest, ebitda:latest</t>
        </is>
      </c>
      <c r="E28" s="4" t="inlineStr">
        <is>
          <t>%</t>
        </is>
      </c>
      <c r="F28" s="4" t="inlineStr">
        <is>
          <t>implemented</t>
        </is>
      </c>
      <c r="G28" s="4" t="inlineStr">
        <is>
          <t>Chosen cash conversion definition is CFO/EBITDA; excludes capex. A negative CFO gives negative conversion.</t>
        </is>
      </c>
    </row>
    <row r="29" ht="72" customHeight="1">
      <c r="A29" s="4" t="inlineStr">
        <is>
          <t>dso</t>
        </is>
      </c>
      <c r="B29" s="4" t="inlineStr">
        <is>
          <t>Days sales outstanding</t>
        </is>
      </c>
      <c r="C29" s="4" t="inlineStr">
        <is>
          <t>Average accounts_receivable / Annual revenue x 365</t>
        </is>
      </c>
      <c r="D29" s="4" t="inlineStr">
        <is>
          <t>accounts_receivable:previous, accounts_receivable:latest, revenue:latest</t>
        </is>
      </c>
      <c r="E29" s="4" t="inlineStr">
        <is>
          <t>days</t>
        </is>
      </c>
      <c r="F29" s="4" t="inlineStr">
        <is>
          <t>implemented</t>
        </is>
      </c>
      <c r="G29" s="4" t="inlineStr">
        <is>
          <t>365-day convention and opening/closing average. Revenue proxies credit sales for DSO; COGS proxies credit purchases for DPO; seasonal businesses may need finer data.</t>
        </is>
      </c>
    </row>
    <row r="30" ht="72" customHeight="1">
      <c r="A30" s="4" t="inlineStr">
        <is>
          <t>dio</t>
        </is>
      </c>
      <c r="B30" s="4" t="inlineStr">
        <is>
          <t>Days inventory outstanding</t>
        </is>
      </c>
      <c r="C30" s="4" t="inlineStr">
        <is>
          <t>Average inventory / Annual cogs x 365</t>
        </is>
      </c>
      <c r="D30" s="4" t="inlineStr">
        <is>
          <t>inventory:previous, inventory:latest, cogs:latest</t>
        </is>
      </c>
      <c r="E30" s="4" t="inlineStr">
        <is>
          <t>days</t>
        </is>
      </c>
      <c r="F30" s="4" t="inlineStr">
        <is>
          <t>implemented</t>
        </is>
      </c>
      <c r="G30" s="4" t="inlineStr">
        <is>
          <t>365-day convention and opening/closing average. Revenue proxies credit sales for DSO; COGS proxies credit purchases for DPO; seasonal businesses may need finer data.</t>
        </is>
      </c>
    </row>
    <row r="31" ht="72" customHeight="1">
      <c r="A31" s="4" t="inlineStr">
        <is>
          <t>dpo</t>
        </is>
      </c>
      <c r="B31" s="4" t="inlineStr">
        <is>
          <t>Days payable outstanding</t>
        </is>
      </c>
      <c r="C31" s="4" t="inlineStr">
        <is>
          <t>Average accounts_payable / Annual cogs x 365</t>
        </is>
      </c>
      <c r="D31" s="4" t="inlineStr">
        <is>
          <t>accounts_payable:previous, accounts_payable:latest, cogs:latest</t>
        </is>
      </c>
      <c r="E31" s="4" t="inlineStr">
        <is>
          <t>days</t>
        </is>
      </c>
      <c r="F31" s="4" t="inlineStr">
        <is>
          <t>implemented</t>
        </is>
      </c>
      <c r="G31" s="4" t="inlineStr">
        <is>
          <t>365-day convention and opening/closing average. Revenue proxies credit sales for DSO; COGS proxies credit purchases for DPO; seasonal businesses may need finer data.</t>
        </is>
      </c>
    </row>
    <row r="32" ht="72" customHeight="1">
      <c r="A32" s="4" t="inlineStr">
        <is>
          <t>cash_conversion_cycle</t>
        </is>
      </c>
      <c r="B32" s="4" t="inlineStr">
        <is>
          <t>Cash conversion cycle (CCC)</t>
        </is>
      </c>
      <c r="C32" s="4" t="inlineStr">
        <is>
          <t>DSO + DIO - DPO</t>
        </is>
      </c>
      <c r="D32" s="4" t="inlineStr">
        <is>
          <t>accounts_receivable:previous, accounts_receivable:latest, revenue:latest, inventory:previous, inventory:latest, cogs:latest, accounts_payable:previous, accounts_payable:latest</t>
        </is>
      </c>
      <c r="E32" s="4" t="inlineStr">
        <is>
          <t>days</t>
        </is>
      </c>
      <c r="F32" s="4" t="inlineStr">
        <is>
          <t>implemented</t>
        </is>
      </c>
      <c r="G32" s="4" t="inlineStr">
        <is>
          <t>Inherits DSO/DIO/DPO conventions. Negative CCC is valid. This is a duration, separate from CFO/EBITDA.</t>
        </is>
      </c>
    </row>
  </sheetData>
  <autoFilter ref="A4:G32"/>
  <printOptions horizontalCentered="0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18" customWidth="1" min="4" max="4"/>
    <col width="23" customWidth="1" min="5" max="5"/>
    <col width="40" customWidth="1" min="6" max="6"/>
    <col width="65" customWidth="1" min="7" max="7"/>
    <col width="80" customWidth="1" min="8" max="8"/>
    <col width="95" customWidth="1" min="9" max="9"/>
  </cols>
  <sheetData>
    <row r="1" ht="24" customHeight="1">
      <c r="A1" s="24" t="inlineStr">
        <is>
          <t>Microsoft Annual Report 2025 — upstream source ledger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4" customHeight="1">
      <c r="A2" s="26" t="inlineStr">
        <is>
          <t>https://www.microsoft.com/investor/reports/ar25/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</row>
    <row r="3" ht="24" customHeight="1">
      <c r="A3" s="27" t="inlineStr">
        <is>
          <t>FY</t>
        </is>
      </c>
      <c r="B3" s="27" t="inlineStr">
        <is>
          <t>Field</t>
        </is>
      </c>
      <c r="C3" s="27" t="inlineStr">
        <is>
          <t>Input value</t>
        </is>
      </c>
      <c r="D3" s="27" t="inlineStr">
        <is>
          <t>Unit</t>
        </is>
      </c>
      <c r="E3" s="27" t="inlineStr">
        <is>
          <t>Upstream status</t>
        </is>
      </c>
      <c r="F3" s="27" t="inlineStr">
        <is>
          <t>Transformation</t>
        </is>
      </c>
      <c r="G3" s="27" t="inlineStr">
        <is>
          <t>Source section / row</t>
        </is>
      </c>
      <c r="H3" s="27" t="inlineStr">
        <is>
          <t>Saved evidence locator</t>
        </is>
      </c>
      <c r="I3" s="27" t="inlineStr">
        <is>
          <t>Notes</t>
        </is>
      </c>
    </row>
    <row r="4" ht="78" customHeight="1">
      <c r="A4" s="25" t="n">
        <v>2025</v>
      </c>
      <c r="B4" s="25" t="inlineStr">
        <is>
          <t>revenue</t>
        </is>
      </c>
      <c r="C4" s="25" t="inlineStr">
        <is>
          <t>281724</t>
        </is>
      </c>
      <c r="D4" s="25" t="inlineStr">
        <is>
          <t>USD millions</t>
        </is>
      </c>
      <c r="E4" s="25" t="inlineStr">
        <is>
          <t>reported</t>
        </is>
      </c>
      <c r="F4" s="25" t="inlineStr">
        <is>
          <t>identity</t>
        </is>
      </c>
      <c r="G4" s="25" t="inlineStr">
        <is>
          <t>Income Statements / Total revenue</t>
        </is>
      </c>
      <c r="H4" s="25" t="inlineStr">
        <is>
          <t>research/microsoft_fy2025/raw/official_report_excerpts.txt:21 (web L814)</t>
        </is>
      </c>
      <c r="I4" s="25" t="inlineStr"/>
    </row>
    <row r="5" ht="78" customHeight="1">
      <c r="A5" s="25" t="n">
        <v>2024</v>
      </c>
      <c r="B5" s="25" t="inlineStr">
        <is>
          <t>revenue</t>
        </is>
      </c>
      <c r="C5" s="25" t="inlineStr">
        <is>
          <t>245122</t>
        </is>
      </c>
      <c r="D5" s="25" t="inlineStr">
        <is>
          <t>USD millions</t>
        </is>
      </c>
      <c r="E5" s="25" t="inlineStr">
        <is>
          <t>reported</t>
        </is>
      </c>
      <c r="F5" s="25" t="inlineStr">
        <is>
          <t>identity</t>
        </is>
      </c>
      <c r="G5" s="25" t="inlineStr">
        <is>
          <t>Income Statements / Total revenue</t>
        </is>
      </c>
      <c r="H5" s="25" t="inlineStr">
        <is>
          <t>research/microsoft_fy2025/raw/official_report_excerpts.txt:21 (web L814)</t>
        </is>
      </c>
      <c r="I5" s="25" t="inlineStr"/>
    </row>
    <row r="6" ht="78" customHeight="1">
      <c r="A6" s="25" t="n">
        <v>2023</v>
      </c>
      <c r="B6" s="25" t="inlineStr">
        <is>
          <t>revenue</t>
        </is>
      </c>
      <c r="C6" s="25" t="inlineStr">
        <is>
          <t>211915</t>
        </is>
      </c>
      <c r="D6" s="25" t="inlineStr">
        <is>
          <t>USD millions</t>
        </is>
      </c>
      <c r="E6" s="25" t="inlineStr">
        <is>
          <t>reported</t>
        </is>
      </c>
      <c r="F6" s="25" t="inlineStr">
        <is>
          <t>identity</t>
        </is>
      </c>
      <c r="G6" s="25" t="inlineStr">
        <is>
          <t>Income Statements / Total revenue</t>
        </is>
      </c>
      <c r="H6" s="25" t="inlineStr">
        <is>
          <t>research/microsoft_fy2025/raw/official_report_excerpts.txt:21 (web L814)</t>
        </is>
      </c>
      <c r="I6" s="25" t="inlineStr"/>
    </row>
    <row r="7" ht="78" customHeight="1">
      <c r="A7" s="25" t="n">
        <v>2025</v>
      </c>
      <c r="B7" s="25" t="inlineStr">
        <is>
          <t>cogs</t>
        </is>
      </c>
      <c r="C7" s="25" t="inlineStr">
        <is>
          <t>87831</t>
        </is>
      </c>
      <c r="D7" s="25" t="inlineStr">
        <is>
          <t>USD millions</t>
        </is>
      </c>
      <c r="E7" s="25" t="inlineStr">
        <is>
          <t>reported</t>
        </is>
      </c>
      <c r="F7" s="25" t="inlineStr">
        <is>
          <t>identity</t>
        </is>
      </c>
      <c r="G7" s="25" t="inlineStr">
        <is>
          <t>Income Statements / Total cost of revenue</t>
        </is>
      </c>
      <c r="H7" s="25" t="inlineStr">
        <is>
          <t>research/microsoft_fy2025/raw/official_report_excerpts.txt:25 (web L818)</t>
        </is>
      </c>
      <c r="I7" s="25" t="inlineStr">
        <is>
          <t>Total cost of revenue includes service/cloud costs; COGS proxy for this model.</t>
        </is>
      </c>
    </row>
    <row r="8" ht="78" customHeight="1">
      <c r="A8" s="25" t="n">
        <v>2024</v>
      </c>
      <c r="B8" s="25" t="inlineStr">
        <is>
          <t>cogs</t>
        </is>
      </c>
      <c r="C8" s="25" t="inlineStr">
        <is>
          <t>74114</t>
        </is>
      </c>
      <c r="D8" s="25" t="inlineStr">
        <is>
          <t>USD millions</t>
        </is>
      </c>
      <c r="E8" s="25" t="inlineStr">
        <is>
          <t>reported</t>
        </is>
      </c>
      <c r="F8" s="25" t="inlineStr">
        <is>
          <t>identity</t>
        </is>
      </c>
      <c r="G8" s="25" t="inlineStr">
        <is>
          <t>Income Statements / Total cost of revenue</t>
        </is>
      </c>
      <c r="H8" s="25" t="inlineStr">
        <is>
          <t>research/microsoft_fy2025/raw/official_report_excerpts.txt:25 (web L818)</t>
        </is>
      </c>
      <c r="I8" s="25" t="inlineStr">
        <is>
          <t>Total cost of revenue includes service/cloud costs; COGS proxy for this model.</t>
        </is>
      </c>
    </row>
    <row r="9" ht="78" customHeight="1">
      <c r="A9" s="25" t="n">
        <v>2023</v>
      </c>
      <c r="B9" s="25" t="inlineStr">
        <is>
          <t>cogs</t>
        </is>
      </c>
      <c r="C9" s="25" t="inlineStr">
        <is>
          <t>65863</t>
        </is>
      </c>
      <c r="D9" s="25" t="inlineStr">
        <is>
          <t>USD millions</t>
        </is>
      </c>
      <c r="E9" s="25" t="inlineStr">
        <is>
          <t>reported</t>
        </is>
      </c>
      <c r="F9" s="25" t="inlineStr">
        <is>
          <t>identity</t>
        </is>
      </c>
      <c r="G9" s="25" t="inlineStr">
        <is>
          <t>Income Statements / Total cost of revenue</t>
        </is>
      </c>
      <c r="H9" s="25" t="inlineStr">
        <is>
          <t>research/microsoft_fy2025/raw/official_report_excerpts.txt:25 (web L818)</t>
        </is>
      </c>
      <c r="I9" s="25" t="inlineStr">
        <is>
          <t>Total cost of revenue includes service/cloud costs; COGS proxy for this model.</t>
        </is>
      </c>
    </row>
    <row r="10" ht="78" customHeight="1">
      <c r="A10" s="25" t="n">
        <v>2025</v>
      </c>
      <c r="B10" s="25" t="inlineStr">
        <is>
          <t>gross_profit</t>
        </is>
      </c>
      <c r="C10" s="25" t="inlineStr">
        <is>
          <t>193893</t>
        </is>
      </c>
      <c r="D10" s="25" t="inlineStr">
        <is>
          <t>USD millions</t>
        </is>
      </c>
      <c r="E10" s="25" t="inlineStr">
        <is>
          <t>reported</t>
        </is>
      </c>
      <c r="F10" s="25" t="inlineStr">
        <is>
          <t>identity</t>
        </is>
      </c>
      <c r="G10" s="25" t="inlineStr">
        <is>
          <t>Income Statements / Gross margin</t>
        </is>
      </c>
      <c r="H10" s="25" t="inlineStr">
        <is>
          <t>research/microsoft_fy2025/raw/official_report_excerpts.txt:26 (web L819)</t>
        </is>
      </c>
      <c r="I10" s="25" t="inlineStr">
        <is>
          <t>Microsoft's monetary Gross margin line is gross profit, not a percentage.</t>
        </is>
      </c>
    </row>
    <row r="11" ht="78" customHeight="1">
      <c r="A11" s="25" t="n">
        <v>2024</v>
      </c>
      <c r="B11" s="25" t="inlineStr">
        <is>
          <t>gross_profit</t>
        </is>
      </c>
      <c r="C11" s="25" t="inlineStr">
        <is>
          <t>171008</t>
        </is>
      </c>
      <c r="D11" s="25" t="inlineStr">
        <is>
          <t>USD millions</t>
        </is>
      </c>
      <c r="E11" s="25" t="inlineStr">
        <is>
          <t>reported</t>
        </is>
      </c>
      <c r="F11" s="25" t="inlineStr">
        <is>
          <t>identity</t>
        </is>
      </c>
      <c r="G11" s="25" t="inlineStr">
        <is>
          <t>Income Statements / Gross margin</t>
        </is>
      </c>
      <c r="H11" s="25" t="inlineStr">
        <is>
          <t>research/microsoft_fy2025/raw/official_report_excerpts.txt:26 (web L819)</t>
        </is>
      </c>
      <c r="I11" s="25" t="inlineStr">
        <is>
          <t>Microsoft's monetary Gross margin line is gross profit, not a percentage.</t>
        </is>
      </c>
    </row>
    <row r="12" ht="78" customHeight="1">
      <c r="A12" s="25" t="n">
        <v>2023</v>
      </c>
      <c r="B12" s="25" t="inlineStr">
        <is>
          <t>gross_profit</t>
        </is>
      </c>
      <c r="C12" s="25" t="inlineStr">
        <is>
          <t>146052</t>
        </is>
      </c>
      <c r="D12" s="25" t="inlineStr">
        <is>
          <t>USD millions</t>
        </is>
      </c>
      <c r="E12" s="25" t="inlineStr">
        <is>
          <t>reported</t>
        </is>
      </c>
      <c r="F12" s="25" t="inlineStr">
        <is>
          <t>identity</t>
        </is>
      </c>
      <c r="G12" s="25" t="inlineStr">
        <is>
          <t>Income Statements / Gross margin</t>
        </is>
      </c>
      <c r="H12" s="25" t="inlineStr">
        <is>
          <t>research/microsoft_fy2025/raw/official_report_excerpts.txt:26 (web L819)</t>
        </is>
      </c>
      <c r="I12" s="25" t="inlineStr">
        <is>
          <t>Microsoft's monetary Gross margin line is gross profit, not a percentage.</t>
        </is>
      </c>
    </row>
    <row r="13" ht="78" customHeight="1">
      <c r="A13" s="25" t="n">
        <v>2025</v>
      </c>
      <c r="B13" s="25" t="inlineStr">
        <is>
          <t>ebit</t>
        </is>
      </c>
      <c r="C13" s="25" t="inlineStr">
        <is>
          <t>128528</t>
        </is>
      </c>
      <c r="D13" s="25" t="inlineStr">
        <is>
          <t>USD millions</t>
        </is>
      </c>
      <c r="E13" s="25" t="inlineStr">
        <is>
          <t>reported</t>
        </is>
      </c>
      <c r="F13" s="25" t="inlineStr">
        <is>
          <t>identity</t>
        </is>
      </c>
      <c r="G13" s="25" t="inlineStr">
        <is>
          <t>Income Statements / Operating income</t>
        </is>
      </c>
      <c r="H13" s="25" t="inlineStr">
        <is>
          <t>research/microsoft_fy2025/raw/official_report_excerpts.txt:30 (web L823)</t>
        </is>
      </c>
      <c r="I13" s="25" t="inlineStr">
        <is>
          <t>Operating income is used as operating EBIT, not pretax income plus interest.</t>
        </is>
      </c>
    </row>
    <row r="14" ht="78" customHeight="1">
      <c r="A14" s="25" t="n">
        <v>2024</v>
      </c>
      <c r="B14" s="25" t="inlineStr">
        <is>
          <t>ebit</t>
        </is>
      </c>
      <c r="C14" s="25" t="inlineStr">
        <is>
          <t>109433</t>
        </is>
      </c>
      <c r="D14" s="25" t="inlineStr">
        <is>
          <t>USD millions</t>
        </is>
      </c>
      <c r="E14" s="25" t="inlineStr">
        <is>
          <t>reported</t>
        </is>
      </c>
      <c r="F14" s="25" t="inlineStr">
        <is>
          <t>identity</t>
        </is>
      </c>
      <c r="G14" s="25" t="inlineStr">
        <is>
          <t>Income Statements / Operating income</t>
        </is>
      </c>
      <c r="H14" s="25" t="inlineStr">
        <is>
          <t>research/microsoft_fy2025/raw/official_report_excerpts.txt:30 (web L823)</t>
        </is>
      </c>
      <c r="I14" s="25" t="inlineStr">
        <is>
          <t>Operating income is used as operating EBIT, not pretax income plus interest.</t>
        </is>
      </c>
    </row>
    <row r="15" ht="78" customHeight="1">
      <c r="A15" s="25" t="n">
        <v>2023</v>
      </c>
      <c r="B15" s="25" t="inlineStr">
        <is>
          <t>ebit</t>
        </is>
      </c>
      <c r="C15" s="25" t="inlineStr">
        <is>
          <t>88523</t>
        </is>
      </c>
      <c r="D15" s="25" t="inlineStr">
        <is>
          <t>USD millions</t>
        </is>
      </c>
      <c r="E15" s="25" t="inlineStr">
        <is>
          <t>reported</t>
        </is>
      </c>
      <c r="F15" s="25" t="inlineStr">
        <is>
          <t>identity</t>
        </is>
      </c>
      <c r="G15" s="25" t="inlineStr">
        <is>
          <t>Income Statements / Operating income</t>
        </is>
      </c>
      <c r="H15" s="25" t="inlineStr">
        <is>
          <t>research/microsoft_fy2025/raw/official_report_excerpts.txt:30 (web L823)</t>
        </is>
      </c>
      <c r="I15" s="25" t="inlineStr">
        <is>
          <t>Operating income is used as operating EBIT, not pretax income plus interest.</t>
        </is>
      </c>
    </row>
    <row r="16" ht="78" customHeight="1">
      <c r="A16" s="25" t="n">
        <v>2025</v>
      </c>
      <c r="B16" s="25" t="inlineStr">
        <is>
          <t>income_tax_expense</t>
        </is>
      </c>
      <c r="C16" s="25" t="inlineStr">
        <is>
          <t>21795</t>
        </is>
      </c>
      <c r="D16" s="25" t="inlineStr">
        <is>
          <t>USD millions</t>
        </is>
      </c>
      <c r="E16" s="25" t="inlineStr">
        <is>
          <t>reported</t>
        </is>
      </c>
      <c r="F16" s="25" t="inlineStr">
        <is>
          <t>identity</t>
        </is>
      </c>
      <c r="G16" s="25" t="inlineStr">
        <is>
          <t>Income Statements / Provision for income taxes</t>
        </is>
      </c>
      <c r="H16" s="25" t="inlineStr">
        <is>
          <t>research/microsoft_fy2025/raw/official_report_excerpts.txt:33 (web L826)</t>
        </is>
      </c>
      <c r="I16" s="25" t="inlineStr"/>
    </row>
    <row r="17" ht="78" customHeight="1">
      <c r="A17" s="25" t="n">
        <v>2024</v>
      </c>
      <c r="B17" s="25" t="inlineStr">
        <is>
          <t>income_tax_expense</t>
        </is>
      </c>
      <c r="C17" s="25" t="inlineStr">
        <is>
          <t>19651</t>
        </is>
      </c>
      <c r="D17" s="25" t="inlineStr">
        <is>
          <t>USD millions</t>
        </is>
      </c>
      <c r="E17" s="25" t="inlineStr">
        <is>
          <t>reported</t>
        </is>
      </c>
      <c r="F17" s="25" t="inlineStr">
        <is>
          <t>identity</t>
        </is>
      </c>
      <c r="G17" s="25" t="inlineStr">
        <is>
          <t>Income Statements / Provision for income taxes</t>
        </is>
      </c>
      <c r="H17" s="25" t="inlineStr">
        <is>
          <t>research/microsoft_fy2025/raw/official_report_excerpts.txt:33 (web L826)</t>
        </is>
      </c>
      <c r="I17" s="25" t="inlineStr"/>
    </row>
    <row r="18" ht="78" customHeight="1">
      <c r="A18" s="25" t="n">
        <v>2023</v>
      </c>
      <c r="B18" s="25" t="inlineStr">
        <is>
          <t>income_tax_expense</t>
        </is>
      </c>
      <c r="C18" s="25" t="inlineStr">
        <is>
          <t>16950</t>
        </is>
      </c>
      <c r="D18" s="25" t="inlineStr">
        <is>
          <t>USD millions</t>
        </is>
      </c>
      <c r="E18" s="25" t="inlineStr">
        <is>
          <t>reported</t>
        </is>
      </c>
      <c r="F18" s="25" t="inlineStr">
        <is>
          <t>identity</t>
        </is>
      </c>
      <c r="G18" s="25" t="inlineStr">
        <is>
          <t>Income Statements / Provision for income taxes</t>
        </is>
      </c>
      <c r="H18" s="25" t="inlineStr">
        <is>
          <t>research/microsoft_fy2025/raw/official_report_excerpts.txt:33 (web L826)</t>
        </is>
      </c>
      <c r="I18" s="25" t="inlineStr"/>
    </row>
    <row r="19" ht="78" customHeight="1">
      <c r="A19" s="25" t="n">
        <v>2025</v>
      </c>
      <c r="B19" s="25" t="inlineStr">
        <is>
          <t>net_income</t>
        </is>
      </c>
      <c r="C19" s="25" t="inlineStr">
        <is>
          <t>101832</t>
        </is>
      </c>
      <c r="D19" s="25" t="inlineStr">
        <is>
          <t>USD millions</t>
        </is>
      </c>
      <c r="E19" s="25" t="inlineStr">
        <is>
          <t>reported</t>
        </is>
      </c>
      <c r="F19" s="25" t="inlineStr">
        <is>
          <t>identity</t>
        </is>
      </c>
      <c r="G19" s="25" t="inlineStr">
        <is>
          <t>Income Statements / Net income</t>
        </is>
      </c>
      <c r="H19" s="25" t="inlineStr">
        <is>
          <t>research/microsoft_fy2025/raw/official_report_excerpts.txt:34 (web L827)</t>
        </is>
      </c>
      <c r="I19" s="25" t="inlineStr"/>
    </row>
    <row r="20" ht="78" customHeight="1">
      <c r="A20" s="25" t="n">
        <v>2024</v>
      </c>
      <c r="B20" s="25" t="inlineStr">
        <is>
          <t>net_income</t>
        </is>
      </c>
      <c r="C20" s="25" t="inlineStr">
        <is>
          <t>88136</t>
        </is>
      </c>
      <c r="D20" s="25" t="inlineStr">
        <is>
          <t>USD millions</t>
        </is>
      </c>
      <c r="E20" s="25" t="inlineStr">
        <is>
          <t>reported</t>
        </is>
      </c>
      <c r="F20" s="25" t="inlineStr">
        <is>
          <t>identity</t>
        </is>
      </c>
      <c r="G20" s="25" t="inlineStr">
        <is>
          <t>Income Statements / Net income</t>
        </is>
      </c>
      <c r="H20" s="25" t="inlineStr">
        <is>
          <t>research/microsoft_fy2025/raw/official_report_excerpts.txt:34 (web L827)</t>
        </is>
      </c>
      <c r="I20" s="25" t="inlineStr"/>
    </row>
    <row r="21" ht="78" customHeight="1">
      <c r="A21" s="25" t="n">
        <v>2023</v>
      </c>
      <c r="B21" s="25" t="inlineStr">
        <is>
          <t>net_income</t>
        </is>
      </c>
      <c r="C21" s="25" t="inlineStr">
        <is>
          <t>72361</t>
        </is>
      </c>
      <c r="D21" s="25" t="inlineStr">
        <is>
          <t>USD millions</t>
        </is>
      </c>
      <c r="E21" s="25" t="inlineStr">
        <is>
          <t>reported</t>
        </is>
      </c>
      <c r="F21" s="25" t="inlineStr">
        <is>
          <t>identity</t>
        </is>
      </c>
      <c r="G21" s="25" t="inlineStr">
        <is>
          <t>Income Statements / Net income</t>
        </is>
      </c>
      <c r="H21" s="25" t="inlineStr">
        <is>
          <t>research/microsoft_fy2025/raw/official_report_excerpts.txt:34 (web L827)</t>
        </is>
      </c>
      <c r="I21" s="25" t="inlineStr"/>
    </row>
    <row r="22" ht="78" customHeight="1">
      <c r="A22" s="25" t="n">
        <v>2025</v>
      </c>
      <c r="B22" s="25" t="inlineStr">
        <is>
          <t>cash_flow_from_operations</t>
        </is>
      </c>
      <c r="C22" s="25" t="inlineStr">
        <is>
          <t>136162</t>
        </is>
      </c>
      <c r="D22" s="25" t="inlineStr">
        <is>
          <t>USD millions</t>
        </is>
      </c>
      <c r="E22" s="25" t="inlineStr">
        <is>
          <t>reported</t>
        </is>
      </c>
      <c r="F22" s="25" t="inlineStr">
        <is>
          <t>identity</t>
        </is>
      </c>
      <c r="G22" s="25" t="inlineStr">
        <is>
          <t>Cash Flows Statements / Net cash from operations</t>
        </is>
      </c>
      <c r="H22" s="25" t="inlineStr">
        <is>
          <t>research/microsoft_fy2025/raw/official_report_excerpts.txt:121 (web L910)</t>
        </is>
      </c>
      <c r="I22" s="25" t="inlineStr"/>
    </row>
    <row r="23" ht="78" customHeight="1">
      <c r="A23" s="25" t="n">
        <v>2024</v>
      </c>
      <c r="B23" s="25" t="inlineStr">
        <is>
          <t>cash_flow_from_operations</t>
        </is>
      </c>
      <c r="C23" s="25" t="inlineStr">
        <is>
          <t>118548</t>
        </is>
      </c>
      <c r="D23" s="25" t="inlineStr">
        <is>
          <t>USD millions</t>
        </is>
      </c>
      <c r="E23" s="25" t="inlineStr">
        <is>
          <t>reported</t>
        </is>
      </c>
      <c r="F23" s="25" t="inlineStr">
        <is>
          <t>identity</t>
        </is>
      </c>
      <c r="G23" s="25" t="inlineStr">
        <is>
          <t>Cash Flows Statements / Net cash from operations</t>
        </is>
      </c>
      <c r="H23" s="25" t="inlineStr">
        <is>
          <t>research/microsoft_fy2025/raw/official_report_excerpts.txt:121 (web L910)</t>
        </is>
      </c>
      <c r="I23" s="25" t="inlineStr"/>
    </row>
    <row r="24" ht="78" customHeight="1">
      <c r="A24" s="25" t="n">
        <v>2023</v>
      </c>
      <c r="B24" s="25" t="inlineStr">
        <is>
          <t>cash_flow_from_operations</t>
        </is>
      </c>
      <c r="C24" s="25" t="inlineStr">
        <is>
          <t>87582</t>
        </is>
      </c>
      <c r="D24" s="25" t="inlineStr">
        <is>
          <t>USD millions</t>
        </is>
      </c>
      <c r="E24" s="25" t="inlineStr">
        <is>
          <t>reported</t>
        </is>
      </c>
      <c r="F24" s="25" t="inlineStr">
        <is>
          <t>identity</t>
        </is>
      </c>
      <c r="G24" s="25" t="inlineStr">
        <is>
          <t>Cash Flows Statements / Net cash from operations</t>
        </is>
      </c>
      <c r="H24" s="25" t="inlineStr">
        <is>
          <t>research/microsoft_fy2025/raw/official_report_excerpts.txt:121 (web L910)</t>
        </is>
      </c>
      <c r="I24" s="25" t="inlineStr"/>
    </row>
    <row r="25" ht="78" customHeight="1">
      <c r="A25" s="25" t="n">
        <v>2025</v>
      </c>
      <c r="B25" s="25" t="inlineStr">
        <is>
          <t>capex</t>
        </is>
      </c>
      <c r="C25" s="25" t="inlineStr">
        <is>
          <t>64551</t>
        </is>
      </c>
      <c r="D25" s="25" t="inlineStr">
        <is>
          <t>USD millions</t>
        </is>
      </c>
      <c r="E25" s="25" t="inlineStr">
        <is>
          <t>reported</t>
        </is>
      </c>
      <c r="F25" s="25" t="inlineStr">
        <is>
          <t>negate reported cash outflow</t>
        </is>
      </c>
      <c r="G25" s="25" t="inlineStr">
        <is>
          <t>Cash Flows Statements / Additions to property and equipment</t>
        </is>
      </c>
      <c r="H25" s="25" t="inlineStr">
        <is>
          <t>research/microsoft_fy2025/raw/official_report_excerpts.txt:132 (web L921)</t>
        </is>
      </c>
      <c r="I25" s="25" t="inlineStr">
        <is>
          <t>Cash purchases of PP&amp;E only; excludes noncash finance-lease additions, acquisitions and unpaid capex.</t>
        </is>
      </c>
    </row>
    <row r="26" ht="78" customHeight="1">
      <c r="A26" s="25" t="n">
        <v>2024</v>
      </c>
      <c r="B26" s="25" t="inlineStr">
        <is>
          <t>capex</t>
        </is>
      </c>
      <c r="C26" s="25" t="inlineStr">
        <is>
          <t>44477</t>
        </is>
      </c>
      <c r="D26" s="25" t="inlineStr">
        <is>
          <t>USD millions</t>
        </is>
      </c>
      <c r="E26" s="25" t="inlineStr">
        <is>
          <t>reported</t>
        </is>
      </c>
      <c r="F26" s="25" t="inlineStr">
        <is>
          <t>negate reported cash outflow</t>
        </is>
      </c>
      <c r="G26" s="25" t="inlineStr">
        <is>
          <t>Cash Flows Statements / Additions to property and equipment</t>
        </is>
      </c>
      <c r="H26" s="25" t="inlineStr">
        <is>
          <t>research/microsoft_fy2025/raw/official_report_excerpts.txt:132 (web L921)</t>
        </is>
      </c>
      <c r="I26" s="25" t="inlineStr">
        <is>
          <t>Cash purchases of PP&amp;E only; excludes noncash finance-lease additions, acquisitions and unpaid capex.</t>
        </is>
      </c>
    </row>
    <row r="27" ht="78" customHeight="1">
      <c r="A27" s="25" t="n">
        <v>2023</v>
      </c>
      <c r="B27" s="25" t="inlineStr">
        <is>
          <t>capex</t>
        </is>
      </c>
      <c r="C27" s="25" t="inlineStr">
        <is>
          <t>28107</t>
        </is>
      </c>
      <c r="D27" s="25" t="inlineStr">
        <is>
          <t>USD millions</t>
        </is>
      </c>
      <c r="E27" s="25" t="inlineStr">
        <is>
          <t>reported</t>
        </is>
      </c>
      <c r="F27" s="25" t="inlineStr">
        <is>
          <t>negate reported cash outflow</t>
        </is>
      </c>
      <c r="G27" s="25" t="inlineStr">
        <is>
          <t>Cash Flows Statements / Additions to property and equipment</t>
        </is>
      </c>
      <c r="H27" s="25" t="inlineStr">
        <is>
          <t>research/microsoft_fy2025/raw/official_report_excerpts.txt:132 (web L921)</t>
        </is>
      </c>
      <c r="I27" s="25" t="inlineStr">
        <is>
          <t>Cash purchases of PP&amp;E only; excludes noncash finance-lease additions, acquisitions and unpaid capex.</t>
        </is>
      </c>
    </row>
    <row r="28" ht="78" customHeight="1">
      <c r="A28" s="25" t="n">
        <v>2025</v>
      </c>
      <c r="B28" s="25" t="inlineStr">
        <is>
          <t>dividends_paid</t>
        </is>
      </c>
      <c r="C28" s="25" t="inlineStr">
        <is>
          <t>24082</t>
        </is>
      </c>
      <c r="D28" s="25" t="inlineStr">
        <is>
          <t>USD millions</t>
        </is>
      </c>
      <c r="E28" s="25" t="inlineStr">
        <is>
          <t>reported</t>
        </is>
      </c>
      <c r="F28" s="25" t="inlineStr">
        <is>
          <t>negate reported cash outflow</t>
        </is>
      </c>
      <c r="G28" s="25" t="inlineStr">
        <is>
          <t>Cash Flows Statements / Common stock cash dividends paid</t>
        </is>
      </c>
      <c r="H28" s="25" t="inlineStr">
        <is>
          <t>research/microsoft_fy2025/raw/official_report_excerpts.txt:128 (web L917)</t>
        </is>
      </c>
      <c r="I28" s="25" t="inlineStr"/>
    </row>
    <row r="29" ht="78" customHeight="1">
      <c r="A29" s="25" t="n">
        <v>2024</v>
      </c>
      <c r="B29" s="25" t="inlineStr">
        <is>
          <t>dividends_paid</t>
        </is>
      </c>
      <c r="C29" s="25" t="inlineStr">
        <is>
          <t>21771</t>
        </is>
      </c>
      <c r="D29" s="25" t="inlineStr">
        <is>
          <t>USD millions</t>
        </is>
      </c>
      <c r="E29" s="25" t="inlineStr">
        <is>
          <t>reported</t>
        </is>
      </c>
      <c r="F29" s="25" t="inlineStr">
        <is>
          <t>negate reported cash outflow</t>
        </is>
      </c>
      <c r="G29" s="25" t="inlineStr">
        <is>
          <t>Cash Flows Statements / Common stock cash dividends paid</t>
        </is>
      </c>
      <c r="H29" s="25" t="inlineStr">
        <is>
          <t>research/microsoft_fy2025/raw/official_report_excerpts.txt:128 (web L917)</t>
        </is>
      </c>
      <c r="I29" s="25" t="inlineStr"/>
    </row>
    <row r="30" ht="78" customHeight="1">
      <c r="A30" s="25" t="n">
        <v>2023</v>
      </c>
      <c r="B30" s="25" t="inlineStr">
        <is>
          <t>dividends_paid</t>
        </is>
      </c>
      <c r="C30" s="25" t="inlineStr">
        <is>
          <t>19800</t>
        </is>
      </c>
      <c r="D30" s="25" t="inlineStr">
        <is>
          <t>USD millions</t>
        </is>
      </c>
      <c r="E30" s="25" t="inlineStr">
        <is>
          <t>reported</t>
        </is>
      </c>
      <c r="F30" s="25" t="inlineStr">
        <is>
          <t>negate reported cash outflow</t>
        </is>
      </c>
      <c r="G30" s="25" t="inlineStr">
        <is>
          <t>Cash Flows Statements / Common stock cash dividends paid</t>
        </is>
      </c>
      <c r="H30" s="25" t="inlineStr">
        <is>
          <t>research/microsoft_fy2025/raw/official_report_excerpts.txt:128 (web L917)</t>
        </is>
      </c>
      <c r="I30" s="25" t="inlineStr"/>
    </row>
    <row r="31" ht="78" customHeight="1">
      <c r="A31" s="25" t="n">
        <v>2025</v>
      </c>
      <c r="B31" s="25" t="inlineStr">
        <is>
          <t>cash_and_equivalents</t>
        </is>
      </c>
      <c r="C31" s="25" t="inlineStr">
        <is>
          <t>30242</t>
        </is>
      </c>
      <c r="D31" s="25" t="inlineStr">
        <is>
          <t>USD millions</t>
        </is>
      </c>
      <c r="E31" s="25" t="inlineStr">
        <is>
          <t>reported</t>
        </is>
      </c>
      <c r="F31" s="25" t="inlineStr">
        <is>
          <t>identity</t>
        </is>
      </c>
      <c r="G31" s="25" t="inlineStr">
        <is>
          <t>Cash Flows Statements / Cash and cash equivalents, end of period</t>
        </is>
      </c>
      <c r="H31" s="25" t="inlineStr">
        <is>
          <t>research/microsoft_fy2025/raw/official_report_excerpts.txt:142 (web L931)</t>
        </is>
      </c>
      <c r="I31" s="25" t="inlineStr">
        <is>
          <t>Excludes short-term investments, even though Microsoft also reports combined liquidity.</t>
        </is>
      </c>
    </row>
    <row r="32" ht="78" customHeight="1">
      <c r="A32" s="25" t="n">
        <v>2024</v>
      </c>
      <c r="B32" s="25" t="inlineStr">
        <is>
          <t>cash_and_equivalents</t>
        </is>
      </c>
      <c r="C32" s="25" t="inlineStr">
        <is>
          <t>18315</t>
        </is>
      </c>
      <c r="D32" s="25" t="inlineStr">
        <is>
          <t>USD millions</t>
        </is>
      </c>
      <c r="E32" s="25" t="inlineStr">
        <is>
          <t>reported</t>
        </is>
      </c>
      <c r="F32" s="25" t="inlineStr">
        <is>
          <t>identity</t>
        </is>
      </c>
      <c r="G32" s="25" t="inlineStr">
        <is>
          <t>Cash Flows Statements / Cash and cash equivalents, end of period</t>
        </is>
      </c>
      <c r="H32" s="25" t="inlineStr">
        <is>
          <t>research/microsoft_fy2025/raw/official_report_excerpts.txt:142 (web L931)</t>
        </is>
      </c>
      <c r="I32" s="25" t="inlineStr">
        <is>
          <t>Excludes short-term investments, even though Microsoft also reports combined liquidity.</t>
        </is>
      </c>
    </row>
    <row r="33" ht="78" customHeight="1">
      <c r="A33" s="25" t="n">
        <v>2023</v>
      </c>
      <c r="B33" s="25" t="inlineStr">
        <is>
          <t>cash_and_equivalents</t>
        </is>
      </c>
      <c r="C33" s="25" t="inlineStr">
        <is>
          <t>34704</t>
        </is>
      </c>
      <c r="D33" s="25" t="inlineStr">
        <is>
          <t>USD millions</t>
        </is>
      </c>
      <c r="E33" s="25" t="inlineStr">
        <is>
          <t>reported</t>
        </is>
      </c>
      <c r="F33" s="25" t="inlineStr">
        <is>
          <t>identity</t>
        </is>
      </c>
      <c r="G33" s="25" t="inlineStr">
        <is>
          <t>Cash Flows Statements / Cash and cash equivalents, end of period</t>
        </is>
      </c>
      <c r="H33" s="25" t="inlineStr">
        <is>
          <t>research/microsoft_fy2025/raw/official_report_excerpts.txt:142 (web L931)</t>
        </is>
      </c>
      <c r="I33" s="25" t="inlineStr">
        <is>
          <t>Excludes short-term investments, even though Microsoft also reports combined liquidity.</t>
        </is>
      </c>
    </row>
    <row r="34" ht="78" customHeight="1">
      <c r="A34" s="25" t="n">
        <v>2025</v>
      </c>
      <c r="B34" s="25" t="inlineStr">
        <is>
          <t>interest_expense</t>
        </is>
      </c>
      <c r="C34" s="25" t="inlineStr">
        <is>
          <t>2385</t>
        </is>
      </c>
      <c r="D34" s="25" t="inlineStr">
        <is>
          <t>USD millions</t>
        </is>
      </c>
      <c r="E34" s="25" t="inlineStr">
        <is>
          <t>reported</t>
        </is>
      </c>
      <c r="F34" s="25" t="inlineStr">
        <is>
          <t>negate expense presentation</t>
        </is>
      </c>
      <c r="G34" s="25" t="inlineStr">
        <is>
          <t>Note 3 — Other Income (Expense), Net / Interest expense</t>
        </is>
      </c>
      <c r="H34" s="25" t="inlineStr">
        <is>
          <t>research/microsoft_fy2025/raw/official_report_excerpts.txt:172 (web L1132)</t>
        </is>
      </c>
      <c r="I34" s="25" t="inlineStr">
        <is>
          <t>Reported interest expense includes finance-lease interest and excludes capitalized interest; not cash interest paid.</t>
        </is>
      </c>
    </row>
    <row r="35" ht="78" customHeight="1">
      <c r="A35" s="25" t="n">
        <v>2024</v>
      </c>
      <c r="B35" s="25" t="inlineStr">
        <is>
          <t>interest_expense</t>
        </is>
      </c>
      <c r="C35" s="25" t="inlineStr">
        <is>
          <t>2935</t>
        </is>
      </c>
      <c r="D35" s="25" t="inlineStr">
        <is>
          <t>USD millions</t>
        </is>
      </c>
      <c r="E35" s="25" t="inlineStr">
        <is>
          <t>reported</t>
        </is>
      </c>
      <c r="F35" s="25" t="inlineStr">
        <is>
          <t>negate expense presentation</t>
        </is>
      </c>
      <c r="G35" s="25" t="inlineStr">
        <is>
          <t>Note 3 — Other Income (Expense), Net / Interest expense</t>
        </is>
      </c>
      <c r="H35" s="25" t="inlineStr">
        <is>
          <t>research/microsoft_fy2025/raw/official_report_excerpts.txt:172 (web L1132)</t>
        </is>
      </c>
      <c r="I35" s="25" t="inlineStr">
        <is>
          <t>Reported interest expense includes finance-lease interest and excludes capitalized interest; not cash interest paid.</t>
        </is>
      </c>
    </row>
    <row r="36" ht="78" customHeight="1">
      <c r="A36" s="25" t="n">
        <v>2023</v>
      </c>
      <c r="B36" s="25" t="inlineStr">
        <is>
          <t>interest_expense</t>
        </is>
      </c>
      <c r="C36" s="25" t="inlineStr">
        <is>
          <t>1968</t>
        </is>
      </c>
      <c r="D36" s="25" t="inlineStr">
        <is>
          <t>USD millions</t>
        </is>
      </c>
      <c r="E36" s="25" t="inlineStr">
        <is>
          <t>reported</t>
        </is>
      </c>
      <c r="F36" s="25" t="inlineStr">
        <is>
          <t>negate expense presentation</t>
        </is>
      </c>
      <c r="G36" s="25" t="inlineStr">
        <is>
          <t>Note 3 — Other Income (Expense), Net / Interest expense</t>
        </is>
      </c>
      <c r="H36" s="25" t="inlineStr">
        <is>
          <t>research/microsoft_fy2025/raw/official_report_excerpts.txt:172 (web L1132)</t>
        </is>
      </c>
      <c r="I36" s="25" t="inlineStr">
        <is>
          <t>Reported interest expense includes finance-lease interest and excludes capitalized interest; not cash interest paid.</t>
        </is>
      </c>
    </row>
    <row r="37" ht="78" customHeight="1">
      <c r="A37" s="25" t="n">
        <v>2025</v>
      </c>
      <c r="B37" s="25" t="inlineStr">
        <is>
          <t>shares_outstanding</t>
        </is>
      </c>
      <c r="C37" s="25" t="inlineStr">
        <is>
          <t>7434000000</t>
        </is>
      </c>
      <c r="D37" s="25" t="inlineStr">
        <is>
          <t>shares</t>
        </is>
      </c>
      <c r="E37" s="25" t="inlineStr">
        <is>
          <t>reported</t>
        </is>
      </c>
      <c r="F37" s="25" t="inlineStr">
        <is>
          <t>millions of shares x 1,000,000</t>
        </is>
      </c>
      <c r="G37" s="25" t="inlineStr">
        <is>
          <t>Note 15 — Shares Outstanding / Balance, end of year</t>
        </is>
      </c>
      <c r="H37" s="25" t="inlineStr">
        <is>
          <t>research/microsoft_fy2025/raw/official_report_excerpts.txt:298 (web L1734)</t>
        </is>
      </c>
      <c r="I37" s="25" t="inlineStr">
        <is>
          <t>FY-end shares, not weighted-average basic/diluted shares.</t>
        </is>
      </c>
    </row>
    <row r="38" ht="78" customHeight="1">
      <c r="A38" s="25" t="n">
        <v>2024</v>
      </c>
      <c r="B38" s="25" t="inlineStr">
        <is>
          <t>shares_outstanding</t>
        </is>
      </c>
      <c r="C38" s="25" t="inlineStr">
        <is>
          <t>7434000000</t>
        </is>
      </c>
      <c r="D38" s="25" t="inlineStr">
        <is>
          <t>shares</t>
        </is>
      </c>
      <c r="E38" s="25" t="inlineStr">
        <is>
          <t>reported</t>
        </is>
      </c>
      <c r="F38" s="25" t="inlineStr">
        <is>
          <t>millions of shares x 1,000,000</t>
        </is>
      </c>
      <c r="G38" s="25" t="inlineStr">
        <is>
          <t>Note 15 — Shares Outstanding / Balance, end of year</t>
        </is>
      </c>
      <c r="H38" s="25" t="inlineStr">
        <is>
          <t>research/microsoft_fy2025/raw/official_report_excerpts.txt:298 (web L1734)</t>
        </is>
      </c>
      <c r="I38" s="25" t="inlineStr">
        <is>
          <t>FY-end shares, not weighted-average basic/diluted shares.</t>
        </is>
      </c>
    </row>
    <row r="39" ht="78" customHeight="1">
      <c r="A39" s="25" t="n">
        <v>2023</v>
      </c>
      <c r="B39" s="25" t="inlineStr">
        <is>
          <t>shares_outstanding</t>
        </is>
      </c>
      <c r="C39" s="25" t="inlineStr">
        <is>
          <t>7432000000</t>
        </is>
      </c>
      <c r="D39" s="25" t="inlineStr">
        <is>
          <t>shares</t>
        </is>
      </c>
      <c r="E39" s="25" t="inlineStr">
        <is>
          <t>reported</t>
        </is>
      </c>
      <c r="F39" s="25" t="inlineStr">
        <is>
          <t>millions of shares x 1,000,000</t>
        </is>
      </c>
      <c r="G39" s="25" t="inlineStr">
        <is>
          <t>Note 15 — Shares Outstanding / Balance, end of year</t>
        </is>
      </c>
      <c r="H39" s="25" t="inlineStr">
        <is>
          <t>research/microsoft_fy2025/raw/official_report_excerpts.txt:298 (web L1734)</t>
        </is>
      </c>
      <c r="I39" s="25" t="inlineStr">
        <is>
          <t>FY-end shares, not weighted-average basic/diluted shares.</t>
        </is>
      </c>
    </row>
    <row r="40" ht="78" customHeight="1">
      <c r="A40" s="25" t="n">
        <v>2025</v>
      </c>
      <c r="B40" s="25" t="inlineStr">
        <is>
          <t>total_assets</t>
        </is>
      </c>
      <c r="C40" s="25" t="inlineStr">
        <is>
          <t>619003</t>
        </is>
      </c>
      <c r="D40" s="25" t="inlineStr">
        <is>
          <t>USD millions</t>
        </is>
      </c>
      <c r="E40" s="25" t="inlineStr">
        <is>
          <t>reported</t>
        </is>
      </c>
      <c r="F40" s="25" t="inlineStr">
        <is>
          <t>identity</t>
        </is>
      </c>
      <c r="G40" s="25" t="inlineStr">
        <is>
          <t>Balance Sheets / Total assets</t>
        </is>
      </c>
      <c r="H40" s="25" t="inlineStr">
        <is>
          <t>research/microsoft_fy2025/raw/official_report_excerpts.txt:72 (web L864)</t>
        </is>
      </c>
      <c r="I40" s="25" t="inlineStr"/>
    </row>
    <row r="41" ht="78" customHeight="1">
      <c r="A41" s="25" t="n">
        <v>2024</v>
      </c>
      <c r="B41" s="25" t="inlineStr">
        <is>
          <t>total_assets</t>
        </is>
      </c>
      <c r="C41" s="25" t="inlineStr">
        <is>
          <t>512163</t>
        </is>
      </c>
      <c r="D41" s="25" t="inlineStr">
        <is>
          <t>USD millions</t>
        </is>
      </c>
      <c r="E41" s="25" t="inlineStr">
        <is>
          <t>reported</t>
        </is>
      </c>
      <c r="F41" s="25" t="inlineStr">
        <is>
          <t>identity</t>
        </is>
      </c>
      <c r="G41" s="25" t="inlineStr">
        <is>
          <t>Balance Sheets / Total assets</t>
        </is>
      </c>
      <c r="H41" s="25" t="inlineStr">
        <is>
          <t>research/microsoft_fy2025/raw/official_report_excerpts.txt:72 (web L864)</t>
        </is>
      </c>
      <c r="I41" s="25" t="inlineStr"/>
    </row>
    <row r="42" ht="78" customHeight="1">
      <c r="A42" s="25" t="n">
        <v>2025</v>
      </c>
      <c r="B42" s="25" t="inlineStr">
        <is>
          <t>total_equity</t>
        </is>
      </c>
      <c r="C42" s="25" t="inlineStr">
        <is>
          <t>343479</t>
        </is>
      </c>
      <c r="D42" s="25" t="inlineStr">
        <is>
          <t>USD millions</t>
        </is>
      </c>
      <c r="E42" s="25" t="inlineStr">
        <is>
          <t>reported</t>
        </is>
      </c>
      <c r="F42" s="25" t="inlineStr">
        <is>
          <t>identity</t>
        </is>
      </c>
      <c r="G42" s="25" t="inlineStr">
        <is>
          <t>Balance Sheets / Total stockholders’ equity</t>
        </is>
      </c>
      <c r="H42" s="25" t="inlineStr">
        <is>
          <t>research/microsoft_fy2025/raw/official_report_excerpts.txt:95 (web L887)</t>
        </is>
      </c>
      <c r="I42" s="25" t="inlineStr"/>
    </row>
    <row r="43" ht="78" customHeight="1">
      <c r="A43" s="25" t="n">
        <v>2024</v>
      </c>
      <c r="B43" s="25" t="inlineStr">
        <is>
          <t>total_equity</t>
        </is>
      </c>
      <c r="C43" s="25" t="inlineStr">
        <is>
          <t>268477</t>
        </is>
      </c>
      <c r="D43" s="25" t="inlineStr">
        <is>
          <t>USD millions</t>
        </is>
      </c>
      <c r="E43" s="25" t="inlineStr">
        <is>
          <t>reported</t>
        </is>
      </c>
      <c r="F43" s="25" t="inlineStr">
        <is>
          <t>identity</t>
        </is>
      </c>
      <c r="G43" s="25" t="inlineStr">
        <is>
          <t>Balance Sheets / Total stockholders’ equity</t>
        </is>
      </c>
      <c r="H43" s="25" t="inlineStr">
        <is>
          <t>research/microsoft_fy2025/raw/official_report_excerpts.txt:95 (web L887)</t>
        </is>
      </c>
      <c r="I43" s="25" t="inlineStr"/>
    </row>
    <row r="44" ht="78" customHeight="1">
      <c r="A44" s="25" t="n">
        <v>2025</v>
      </c>
      <c r="B44" s="25" t="inlineStr">
        <is>
          <t>current_assets</t>
        </is>
      </c>
      <c r="C44" s="25" t="inlineStr">
        <is>
          <t>191131</t>
        </is>
      </c>
      <c r="D44" s="25" t="inlineStr">
        <is>
          <t>USD millions</t>
        </is>
      </c>
      <c r="E44" s="25" t="inlineStr">
        <is>
          <t>reported</t>
        </is>
      </c>
      <c r="F44" s="25" t="inlineStr">
        <is>
          <t>identity</t>
        </is>
      </c>
      <c r="G44" s="25" t="inlineStr">
        <is>
          <t>Balance Sheets / Total current assets</t>
        </is>
      </c>
      <c r="H44" s="25" t="inlineStr">
        <is>
          <t>research/microsoft_fy2025/raw/official_report_excerpts.txt:65 (web L857)</t>
        </is>
      </c>
      <c r="I44" s="25" t="inlineStr"/>
    </row>
    <row r="45" ht="78" customHeight="1">
      <c r="A45" s="25" t="n">
        <v>2024</v>
      </c>
      <c r="B45" s="25" t="inlineStr">
        <is>
          <t>current_assets</t>
        </is>
      </c>
      <c r="C45" s="25" t="inlineStr">
        <is>
          <t>159734</t>
        </is>
      </c>
      <c r="D45" s="25" t="inlineStr">
        <is>
          <t>USD millions</t>
        </is>
      </c>
      <c r="E45" s="25" t="inlineStr">
        <is>
          <t>reported</t>
        </is>
      </c>
      <c r="F45" s="25" t="inlineStr">
        <is>
          <t>identity</t>
        </is>
      </c>
      <c r="G45" s="25" t="inlineStr">
        <is>
          <t>Balance Sheets / Total current assets</t>
        </is>
      </c>
      <c r="H45" s="25" t="inlineStr">
        <is>
          <t>research/microsoft_fy2025/raw/official_report_excerpts.txt:65 (web L857)</t>
        </is>
      </c>
      <c r="I45" s="25" t="inlineStr"/>
    </row>
    <row r="46" ht="78" customHeight="1">
      <c r="A46" s="25" t="n">
        <v>2025</v>
      </c>
      <c r="B46" s="25" t="inlineStr">
        <is>
          <t>current_liabilities</t>
        </is>
      </c>
      <c r="C46" s="25" t="inlineStr">
        <is>
          <t>141218</t>
        </is>
      </c>
      <c r="D46" s="25" t="inlineStr">
        <is>
          <t>USD millions</t>
        </is>
      </c>
      <c r="E46" s="25" t="inlineStr">
        <is>
          <t>reported</t>
        </is>
      </c>
      <c r="F46" s="25" t="inlineStr">
        <is>
          <t>identity</t>
        </is>
      </c>
      <c r="G46" s="25" t="inlineStr">
        <is>
          <t>Balance Sheets / Total current liabilities</t>
        </is>
      </c>
      <c r="H46" s="25" t="inlineStr">
        <is>
          <t>research/microsoft_fy2025/raw/official_report_excerpts.txt:82 (web L874)</t>
        </is>
      </c>
      <c r="I46" s="25" t="inlineStr"/>
    </row>
    <row r="47" ht="78" customHeight="1">
      <c r="A47" s="25" t="n">
        <v>2024</v>
      </c>
      <c r="B47" s="25" t="inlineStr">
        <is>
          <t>current_liabilities</t>
        </is>
      </c>
      <c r="C47" s="25" t="inlineStr">
        <is>
          <t>125286</t>
        </is>
      </c>
      <c r="D47" s="25" t="inlineStr">
        <is>
          <t>USD millions</t>
        </is>
      </c>
      <c r="E47" s="25" t="inlineStr">
        <is>
          <t>reported</t>
        </is>
      </c>
      <c r="F47" s="25" t="inlineStr">
        <is>
          <t>identity</t>
        </is>
      </c>
      <c r="G47" s="25" t="inlineStr">
        <is>
          <t>Balance Sheets / Total current liabilities</t>
        </is>
      </c>
      <c r="H47" s="25" t="inlineStr">
        <is>
          <t>research/microsoft_fy2025/raw/official_report_excerpts.txt:82 (web L874)</t>
        </is>
      </c>
      <c r="I47" s="25" t="inlineStr"/>
    </row>
    <row r="48" ht="78" customHeight="1">
      <c r="A48" s="25" t="n">
        <v>2025</v>
      </c>
      <c r="B48" s="25" t="inlineStr">
        <is>
          <t>inventory</t>
        </is>
      </c>
      <c r="C48" s="25" t="inlineStr">
        <is>
          <t>938</t>
        </is>
      </c>
      <c r="D48" s="25" t="inlineStr">
        <is>
          <t>USD millions</t>
        </is>
      </c>
      <c r="E48" s="25" t="inlineStr">
        <is>
          <t>reported</t>
        </is>
      </c>
      <c r="F48" s="25" t="inlineStr">
        <is>
          <t>identity</t>
        </is>
      </c>
      <c r="G48" s="25" t="inlineStr">
        <is>
          <t>Balance Sheets / Inventories</t>
        </is>
      </c>
      <c r="H48" s="25" t="inlineStr">
        <is>
          <t>research/microsoft_fy2025/raw/official_report_excerpts.txt:63 (web L855)</t>
        </is>
      </c>
      <c r="I48" s="25" t="inlineStr"/>
    </row>
    <row r="49" ht="78" customHeight="1">
      <c r="A49" s="25" t="n">
        <v>2024</v>
      </c>
      <c r="B49" s="25" t="inlineStr">
        <is>
          <t>inventory</t>
        </is>
      </c>
      <c r="C49" s="25" t="inlineStr">
        <is>
          <t>1246</t>
        </is>
      </c>
      <c r="D49" s="25" t="inlineStr">
        <is>
          <t>USD millions</t>
        </is>
      </c>
      <c r="E49" s="25" t="inlineStr">
        <is>
          <t>reported</t>
        </is>
      </c>
      <c r="F49" s="25" t="inlineStr">
        <is>
          <t>identity</t>
        </is>
      </c>
      <c r="G49" s="25" t="inlineStr">
        <is>
          <t>Balance Sheets / Inventories</t>
        </is>
      </c>
      <c r="H49" s="25" t="inlineStr">
        <is>
          <t>research/microsoft_fy2025/raw/official_report_excerpts.txt:63 (web L855)</t>
        </is>
      </c>
      <c r="I49" s="25" t="inlineStr"/>
    </row>
    <row r="50" ht="78" customHeight="1">
      <c r="A50" s="25" t="n">
        <v>2025</v>
      </c>
      <c r="B50" s="25" t="inlineStr">
        <is>
          <t>accounts_receivable</t>
        </is>
      </c>
      <c r="C50" s="25" t="inlineStr">
        <is>
          <t>69905</t>
        </is>
      </c>
      <c r="D50" s="25" t="inlineStr">
        <is>
          <t>USD millions</t>
        </is>
      </c>
      <c r="E50" s="25" t="inlineStr">
        <is>
          <t>reported</t>
        </is>
      </c>
      <c r="F50" s="25" t="inlineStr">
        <is>
          <t>identity</t>
        </is>
      </c>
      <c r="G50" s="25" t="inlineStr">
        <is>
          <t>Balance Sheets / Accounts receivable, net of allowance for doubtful accounts of $944 and $830</t>
        </is>
      </c>
      <c r="H50" s="25" t="inlineStr">
        <is>
          <t>research/microsoft_fy2025/raw/official_report_excerpts.txt:62 (web L854)</t>
        </is>
      </c>
      <c r="I50" s="25" t="inlineStr">
        <is>
          <t>Current net receivables only; long-term receivables and financing receivables are excluded.</t>
        </is>
      </c>
    </row>
    <row r="51" ht="78" customHeight="1">
      <c r="A51" s="25" t="n">
        <v>2024</v>
      </c>
      <c r="B51" s="25" t="inlineStr">
        <is>
          <t>accounts_receivable</t>
        </is>
      </c>
      <c r="C51" s="25" t="inlineStr">
        <is>
          <t>56924</t>
        </is>
      </c>
      <c r="D51" s="25" t="inlineStr">
        <is>
          <t>USD millions</t>
        </is>
      </c>
      <c r="E51" s="25" t="inlineStr">
        <is>
          <t>reported</t>
        </is>
      </c>
      <c r="F51" s="25" t="inlineStr">
        <is>
          <t>identity</t>
        </is>
      </c>
      <c r="G51" s="25" t="inlineStr">
        <is>
          <t>Balance Sheets / Accounts receivable, net of allowance for doubtful accounts of $944 and $830</t>
        </is>
      </c>
      <c r="H51" s="25" t="inlineStr">
        <is>
          <t>research/microsoft_fy2025/raw/official_report_excerpts.txt:62 (web L854)</t>
        </is>
      </c>
      <c r="I51" s="25" t="inlineStr">
        <is>
          <t>Current net receivables only; long-term receivables and financing receivables are excluded.</t>
        </is>
      </c>
    </row>
    <row r="52" ht="78" customHeight="1">
      <c r="A52" s="25" t="n">
        <v>2025</v>
      </c>
      <c r="B52" s="25" t="inlineStr">
        <is>
          <t>accounts_payable</t>
        </is>
      </c>
      <c r="C52" s="25" t="inlineStr">
        <is>
          <t>27724</t>
        </is>
      </c>
      <c r="D52" s="25" t="inlineStr">
        <is>
          <t>USD millions</t>
        </is>
      </c>
      <c r="E52" s="25" t="inlineStr">
        <is>
          <t>reported</t>
        </is>
      </c>
      <c r="F52" s="25" t="inlineStr">
        <is>
          <t>identity</t>
        </is>
      </c>
      <c r="G52" s="25" t="inlineStr">
        <is>
          <t>Balance Sheets / Accounts payable</t>
        </is>
      </c>
      <c r="H52" s="25" t="inlineStr">
        <is>
          <t>research/microsoft_fy2025/raw/official_report_excerpts.txt:75 (web L867)</t>
        </is>
      </c>
      <c r="I52" s="25" t="inlineStr">
        <is>
          <t>Includes PP&amp;E payable ($6.9bn FY2025/$4.3bn FY2024); DPO/CCC are coarse model proxies.</t>
        </is>
      </c>
    </row>
    <row r="53" ht="78" customHeight="1">
      <c r="A53" s="25" t="n">
        <v>2024</v>
      </c>
      <c r="B53" s="25" t="inlineStr">
        <is>
          <t>accounts_payable</t>
        </is>
      </c>
      <c r="C53" s="25" t="inlineStr">
        <is>
          <t>21996</t>
        </is>
      </c>
      <c r="D53" s="25" t="inlineStr">
        <is>
          <t>USD millions</t>
        </is>
      </c>
      <c r="E53" s="25" t="inlineStr">
        <is>
          <t>reported</t>
        </is>
      </c>
      <c r="F53" s="25" t="inlineStr">
        <is>
          <t>identity</t>
        </is>
      </c>
      <c r="G53" s="25" t="inlineStr">
        <is>
          <t>Balance Sheets / Accounts payable</t>
        </is>
      </c>
      <c r="H53" s="25" t="inlineStr">
        <is>
          <t>research/microsoft_fy2025/raw/official_report_excerpts.txt:75 (web L867)</t>
        </is>
      </c>
      <c r="I53" s="25" t="inlineStr">
        <is>
          <t>Includes PP&amp;E payable ($6.9bn FY2025/$4.3bn FY2024); DPO/CCC are coarse model proxies.</t>
        </is>
      </c>
    </row>
    <row r="54" ht="78" customHeight="1">
      <c r="A54" s="25" t="n">
        <v>2025</v>
      </c>
      <c r="B54" s="25" t="inlineStr">
        <is>
          <t>total_debt</t>
        </is>
      </c>
      <c r="C54" s="25" t="inlineStr">
        <is>
          <t>43151</t>
        </is>
      </c>
      <c r="D54" s="25" t="inlineStr">
        <is>
          <t>USD millions</t>
        </is>
      </c>
      <c r="E54" s="25" t="inlineStr">
        <is>
          <t>derived_exact</t>
        </is>
      </c>
      <c r="F54" s="25" t="inlineStr">
        <is>
          <t>short-term debt + current long-term debt + noncurrent long-term debt</t>
        </is>
      </c>
      <c r="G54" s="25" t="inlineStr">
        <is>
          <t>Balance Sheets / Short-term debt; Balance Sheets / Current portion of long-term debt; Balance Sheets / Long-term debt</t>
        </is>
      </c>
      <c r="H54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4" s="25" t="inlineStr">
        <is>
          <t>Narrow borrowing-debt definition. Excludes finance and operating leases. Includes FY2024 commercial paper.</t>
        </is>
      </c>
    </row>
    <row r="55" ht="78" customHeight="1">
      <c r="A55" s="25" t="n">
        <v>2024</v>
      </c>
      <c r="B55" s="25" t="inlineStr">
        <is>
          <t>total_debt</t>
        </is>
      </c>
      <c r="C55" s="25" t="inlineStr">
        <is>
          <t>51630</t>
        </is>
      </c>
      <c r="D55" s="25" t="inlineStr">
        <is>
          <t>USD millions</t>
        </is>
      </c>
      <c r="E55" s="25" t="inlineStr">
        <is>
          <t>derived_exact</t>
        </is>
      </c>
      <c r="F55" s="25" t="inlineStr">
        <is>
          <t>short-term debt + current long-term debt + noncurrent long-term debt</t>
        </is>
      </c>
      <c r="G55" s="25" t="inlineStr">
        <is>
          <t>Balance Sheets / Short-term debt; Balance Sheets / Current portion of long-term debt; Balance Sheets / Long-term debt</t>
        </is>
      </c>
      <c r="H55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5" s="25" t="inlineStr">
        <is>
          <t>Narrow borrowing-debt definition. Excludes finance and operating leases. Includes FY2024 commercial paper.</t>
        </is>
      </c>
    </row>
    <row r="56" ht="78" customHeight="1">
      <c r="A56" s="25" t="n">
        <v>2025</v>
      </c>
      <c r="B56" s="25" t="inlineStr">
        <is>
          <t>market_value_debt</t>
        </is>
      </c>
      <c r="C56" s="25" t="inlineStr">
        <is>
          <t>40400</t>
        </is>
      </c>
      <c r="D56" s="25" t="inlineStr">
        <is>
          <t>USD millions</t>
        </is>
      </c>
      <c r="E56" s="25" t="inlineStr">
        <is>
          <t>reported_rounded</t>
        </is>
      </c>
      <c r="F56" s="25" t="inlineStr">
        <is>
          <t>40.4 billion USD x 1,000</t>
        </is>
      </c>
      <c r="G56" s="25" t="inlineStr">
        <is>
          <t>Note 10 — Debt / As of June 30, 2025 and 2024, the estimated fair value of long-term debt, including the current portion, was $40.4 billion and $42.3 billion, respectively. The estimated fair values are based on Level 2 inputs.</t>
        </is>
      </c>
      <c r="H56" s="25" t="inlineStr">
        <is>
          <t>research/microsoft_fy2025/raw/definition_notes_excerpts.txt:195 (web L1527)</t>
        </is>
      </c>
      <c r="I56" s="25" t="inlineStr">
        <is>
          <t>Reported estimate rounded to $0.1bn; long-term borrowings including current portion, with no commercial paper in FY2025; excludes leases.</t>
        </is>
      </c>
    </row>
    <row r="57" ht="78" customHeight="1">
      <c r="A57" s="25" t="n">
        <v>2023</v>
      </c>
      <c r="B57" s="25" t="inlineStr">
        <is>
          <t>ebitda</t>
        </is>
      </c>
      <c r="C57" s="25" t="inlineStr">
        <is>
          <t>102023000000.0</t>
        </is>
      </c>
      <c r="D57" s="25" t="inlineStr">
        <is>
          <t>absolute USD</t>
        </is>
      </c>
      <c r="E57" s="25" t="inlineStr">
        <is>
          <t>derived_approximate</t>
        </is>
      </c>
      <c r="F57" s="25" t="inlineStr">
        <is>
          <t>operating-ebitda-separate-da-v1</t>
        </is>
      </c>
      <c r="G57" s="25" t="inlineStr">
        <is>
          <t>See Derivations sheet for components and exact evidence</t>
        </is>
      </c>
      <c r="H57" s="25" t="inlineStr">
        <is>
          <t>row 2, column ebit; {'file': 'research/microsoft_fy2025/raw/definition_notes_excerpts.txt', 'line': 53, 'web_extracted_line': 1386}; {'file': 'research/microsoft_fy2025/raw/official_report_excerpts.txt', 'line': 194, 'web_extracted_line': 1476}</t>
        </is>
      </c>
      <c r="I57" s="25" t="inlineStr">
        <is>
          <t>Approximate reconstructed operating EBITDA: operating EBIT + separately disclosed depreciation + intangible amortization; rounded source components. Not reported EBITDA; no extra ROU add-back.</t>
        </is>
      </c>
    </row>
    <row r="58" ht="78" customHeight="1">
      <c r="A58" s="25" t="n">
        <v>2023</v>
      </c>
      <c r="B58" s="25" t="inlineStr">
        <is>
          <t>total_debt</t>
        </is>
      </c>
      <c r="C58" s="25" t="inlineStr"/>
      <c r="D58" s="25" t="inlineStr"/>
      <c r="E58" s="25" t="inlineStr">
        <is>
          <t>unavailable</t>
        </is>
      </c>
      <c r="F58" s="25" t="n"/>
      <c r="G58" s="25" t="inlineStr"/>
      <c r="H58" s="25" t="inlineStr"/>
      <c r="I58" s="25" t="inlineStr">
        <is>
          <t>Not needed at this historical endpoint and not disclosed in the comparative balance sheets/notes selected for this case.</t>
        </is>
      </c>
    </row>
    <row r="59" ht="78" customHeight="1">
      <c r="A59" s="25" t="n">
        <v>2023</v>
      </c>
      <c r="B59" s="25" t="inlineStr">
        <is>
          <t>total_assets</t>
        </is>
      </c>
      <c r="C59" s="25" t="inlineStr"/>
      <c r="D59" s="25" t="inlineStr"/>
      <c r="E59" s="25" t="inlineStr">
        <is>
          <t>unavailable</t>
        </is>
      </c>
      <c r="F59" s="25" t="n"/>
      <c r="G59" s="25" t="inlineStr"/>
      <c r="H59" s="25" t="inlineStr"/>
      <c r="I59" s="25" t="inlineStr">
        <is>
          <t>Not needed at this historical endpoint and not disclosed in the comparative balance sheets/notes selected for this case.</t>
        </is>
      </c>
    </row>
    <row r="60" ht="78" customHeight="1">
      <c r="A60" s="25" t="n">
        <v>2023</v>
      </c>
      <c r="B60" s="25" t="inlineStr">
        <is>
          <t>total_equity</t>
        </is>
      </c>
      <c r="C60" s="25" t="inlineStr"/>
      <c r="D60" s="25" t="inlineStr"/>
      <c r="E60" s="25" t="inlineStr">
        <is>
          <t>unavailable</t>
        </is>
      </c>
      <c r="F60" s="25" t="n"/>
      <c r="G60" s="25" t="inlineStr"/>
      <c r="H60" s="25" t="inlineStr"/>
      <c r="I60" s="25" t="inlineStr">
        <is>
          <t>Not needed at this historical endpoint and not disclosed in the comparative balance sheets/notes selected for this case.</t>
        </is>
      </c>
    </row>
    <row r="61" ht="78" customHeight="1">
      <c r="A61" s="25" t="n">
        <v>2023</v>
      </c>
      <c r="B61" s="25" t="inlineStr">
        <is>
          <t>current_assets</t>
        </is>
      </c>
      <c r="C61" s="25" t="inlineStr"/>
      <c r="D61" s="25" t="inlineStr"/>
      <c r="E61" s="25" t="inlineStr">
        <is>
          <t>unavailable</t>
        </is>
      </c>
      <c r="F61" s="25" t="n"/>
      <c r="G61" s="25" t="inlineStr"/>
      <c r="H61" s="25" t="inlineStr"/>
      <c r="I61" s="25" t="inlineStr">
        <is>
          <t>Not needed at this historical endpoint and not disclosed in the comparative balance sheets/notes selected for this case.</t>
        </is>
      </c>
    </row>
    <row r="62" ht="78" customHeight="1">
      <c r="A62" s="25" t="n">
        <v>2023</v>
      </c>
      <c r="B62" s="25" t="inlineStr">
        <is>
          <t>current_liabilities</t>
        </is>
      </c>
      <c r="C62" s="25" t="inlineStr"/>
      <c r="D62" s="25" t="inlineStr"/>
      <c r="E62" s="25" t="inlineStr">
        <is>
          <t>unavailable</t>
        </is>
      </c>
      <c r="F62" s="25" t="n"/>
      <c r="G62" s="25" t="inlineStr"/>
      <c r="H62" s="25" t="inlineStr"/>
      <c r="I62" s="25" t="inlineStr">
        <is>
          <t>Not needed at this historical endpoint and not disclosed in the comparative balance sheets/notes selected for this case.</t>
        </is>
      </c>
    </row>
    <row r="63" ht="78" customHeight="1">
      <c r="A63" s="25" t="n">
        <v>2023</v>
      </c>
      <c r="B63" s="25" t="inlineStr">
        <is>
          <t>inventory</t>
        </is>
      </c>
      <c r="C63" s="25" t="inlineStr"/>
      <c r="D63" s="25" t="inlineStr"/>
      <c r="E63" s="25" t="inlineStr">
        <is>
          <t>unavailable</t>
        </is>
      </c>
      <c r="F63" s="25" t="n"/>
      <c r="G63" s="25" t="inlineStr"/>
      <c r="H63" s="25" t="inlineStr"/>
      <c r="I63" s="25" t="inlineStr">
        <is>
          <t>Not needed at this historical endpoint and not disclosed in the comparative balance sheets/notes selected for this case.</t>
        </is>
      </c>
    </row>
    <row r="64" ht="78" customHeight="1">
      <c r="A64" s="25" t="n">
        <v>2023</v>
      </c>
      <c r="B64" s="25" t="inlineStr">
        <is>
          <t>accounts_receivable</t>
        </is>
      </c>
      <c r="C64" s="25" t="inlineStr"/>
      <c r="D64" s="25" t="inlineStr"/>
      <c r="E64" s="25" t="inlineStr">
        <is>
          <t>unavailable</t>
        </is>
      </c>
      <c r="F64" s="25" t="n"/>
      <c r="G64" s="25" t="inlineStr"/>
      <c r="H64" s="25" t="inlineStr"/>
      <c r="I64" s="25" t="inlineStr">
        <is>
          <t>Not needed at this historical endpoint and not disclosed in the comparative balance sheets/notes selected for this case.</t>
        </is>
      </c>
    </row>
    <row r="65" ht="78" customHeight="1">
      <c r="A65" s="25" t="n">
        <v>2023</v>
      </c>
      <c r="B65" s="25" t="inlineStr">
        <is>
          <t>accounts_payable</t>
        </is>
      </c>
      <c r="C65" s="25" t="inlineStr"/>
      <c r="D65" s="25" t="inlineStr"/>
      <c r="E65" s="25" t="inlineStr">
        <is>
          <t>unavailable</t>
        </is>
      </c>
      <c r="F65" s="25" t="n"/>
      <c r="G65" s="25" t="inlineStr"/>
      <c r="H65" s="25" t="inlineStr"/>
      <c r="I65" s="25" t="inlineStr">
        <is>
          <t>Not needed at this historical endpoint and not disclosed in the comparative balance sheets/notes selected for this case.</t>
        </is>
      </c>
    </row>
    <row r="66" ht="78" customHeight="1">
      <c r="A66" s="25" t="n">
        <v>2023</v>
      </c>
      <c r="B66" s="25" t="inlineStr">
        <is>
          <t>market_cap</t>
        </is>
      </c>
      <c r="C66" s="25" t="inlineStr">
        <is>
          <t>unavailable</t>
        </is>
      </c>
      <c r="D66" s="25" t="inlineStr"/>
      <c r="E66" s="25" t="inlineStr">
        <is>
          <t>unavailable</t>
        </is>
      </c>
      <c r="F66" s="25" t="n"/>
      <c r="G66" s="25" t="inlineStr"/>
      <c r="H66" s="25" t="inlineStr"/>
      <c r="I66" s="25" t="inlineStr">
        <is>
          <t>No June 30 closing market capitalization in the selected financial statements. FY-end shares are available, but a verified matching-date share price is required.</t>
        </is>
      </c>
    </row>
    <row r="67" ht="78" customHeight="1">
      <c r="A67" s="25" t="n">
        <v>2023</v>
      </c>
      <c r="B67" s="25" t="inlineStr">
        <is>
          <t>share_price</t>
        </is>
      </c>
      <c r="C67" s="25" t="inlineStr">
        <is>
          <t>unavailable</t>
        </is>
      </c>
      <c r="D67" s="25" t="inlineStr"/>
      <c r="E67" s="25" t="inlineStr">
        <is>
          <t>unavailable</t>
        </is>
      </c>
      <c r="F67" s="25" t="n"/>
      <c r="G67" s="25" t="inlineStr"/>
      <c r="H67" s="25" t="inlineStr"/>
      <c r="I67" s="25" t="inlineStr">
        <is>
          <t>No verified June 30 closing share price in the selected report. The total-return performance index is not a share price.</t>
        </is>
      </c>
    </row>
    <row r="68" ht="78" customHeight="1">
      <c r="A68" s="25" t="n">
        <v>2023</v>
      </c>
      <c r="B68" s="25" t="inlineStr">
        <is>
          <t>pre_tax_cost_of_debt</t>
        </is>
      </c>
      <c r="C68" s="25" t="inlineStr">
        <is>
          <t>unavailable</t>
        </is>
      </c>
      <c r="D68" s="25" t="inlineStr"/>
      <c r="E68" s="25" t="inlineStr">
        <is>
          <t>unavailable</t>
        </is>
      </c>
      <c r="F68" s="25" t="n"/>
      <c r="G68" s="25" t="inlineStr"/>
      <c r="H68" s="25" t="inlineStr"/>
      <c r="I68" s="25" t="inlineStr">
        <is>
          <t>Current marginal market borrowing cost/YTM is not established. Interest expense / debt and lease discount rates are not substituted.</t>
        </is>
      </c>
    </row>
    <row r="69" ht="78" customHeight="1">
      <c r="A69" s="25" t="n">
        <v>2023</v>
      </c>
      <c r="B69" s="25" t="inlineStr">
        <is>
          <t>risk_free_rate</t>
        </is>
      </c>
      <c r="C69" s="25" t="inlineStr">
        <is>
          <t>unavailable</t>
        </is>
      </c>
      <c r="D69" s="25" t="inlineStr"/>
      <c r="E69" s="25" t="inlineStr">
        <is>
          <t>unavailable</t>
        </is>
      </c>
      <c r="F69" s="25" t="n"/>
      <c r="G69" s="25" t="inlineStr"/>
      <c r="H69" s="25" t="inlineStr"/>
      <c r="I69" s="25" t="inlineStr">
        <is>
          <t>Requires a chosen currency-, date- and maturity-matched market assumption; not selected from the report.</t>
        </is>
      </c>
    </row>
    <row r="70" ht="78" customHeight="1">
      <c r="A70" s="25" t="n">
        <v>2023</v>
      </c>
      <c r="B70" s="25" t="inlineStr">
        <is>
          <t>equity_beta</t>
        </is>
      </c>
      <c r="C70" s="25" t="inlineStr">
        <is>
          <t>unavailable</t>
        </is>
      </c>
      <c r="D70" s="25" t="inlineStr"/>
      <c r="E70" s="25" t="inlineStr">
        <is>
          <t>unavailable</t>
        </is>
      </c>
      <c r="F70" s="25" t="n"/>
      <c r="G70" s="25" t="inlineStr"/>
      <c r="H70" s="25" t="inlineStr"/>
      <c r="I70" s="25" t="inlineStr">
        <is>
          <t>Requires a documented estimate, benchmark and observation window; not selected from the report.</t>
        </is>
      </c>
    </row>
    <row r="71" ht="78" customHeight="1">
      <c r="A71" s="25" t="n">
        <v>2023</v>
      </c>
      <c r="B71" s="25" t="inlineStr">
        <is>
          <t>equity_risk_premium</t>
        </is>
      </c>
      <c r="C71" s="25" t="inlineStr">
        <is>
          <t>unavailable</t>
        </is>
      </c>
      <c r="D71" s="25" t="inlineStr"/>
      <c r="E71" s="25" t="inlineStr">
        <is>
          <t>unavailable</t>
        </is>
      </c>
      <c r="F71" s="25" t="n"/>
      <c r="G71" s="25" t="inlineStr"/>
      <c r="H71" s="25" t="inlineStr"/>
      <c r="I71" s="25" t="inlineStr">
        <is>
          <t>Requires an explicit market-risk-premium assumption; not selected from the report.</t>
        </is>
      </c>
    </row>
    <row r="72" ht="78" customHeight="1">
      <c r="A72" s="25" t="n">
        <v>2023</v>
      </c>
      <c r="B72" s="25" t="inlineStr">
        <is>
          <t>marginal_tax_rate</t>
        </is>
      </c>
      <c r="C72" s="25" t="inlineStr">
        <is>
          <t>unavailable</t>
        </is>
      </c>
      <c r="D72" s="25" t="inlineStr"/>
      <c r="E72" s="25" t="inlineStr">
        <is>
          <t>unavailable</t>
        </is>
      </c>
      <c r="F72" s="25" t="n"/>
      <c r="G72" s="25" t="inlineStr"/>
      <c r="H72" s="25" t="inlineStr"/>
      <c r="I72" s="25" t="inlineStr">
        <is>
          <t>Effective tax rate/provision is not a marginal tax-rate assumption for WACC.</t>
        </is>
      </c>
    </row>
    <row r="73" ht="78" customHeight="1">
      <c r="A73" s="25" t="n">
        <v>2023</v>
      </c>
      <c r="B73" s="25" t="inlineStr">
        <is>
          <t>monthly_recurring_revenue</t>
        </is>
      </c>
      <c r="C73" s="25" t="inlineStr">
        <is>
          <t>unavailable</t>
        </is>
      </c>
      <c r="D73" s="25" t="inlineStr"/>
      <c r="E73" s="25" t="inlineStr">
        <is>
          <t>unavailable</t>
        </is>
      </c>
      <c r="F73" s="25" t="n"/>
      <c r="G7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73" s="25" t="inlineStr">
        <is>
          <t>research/microsoft_fy2025/raw/definition_notes_excerpts.txt:248 (web L1643); research/microsoft_fy2025/raw/definition_notes_excerpts.txt:259 (web L1654)</t>
        </is>
      </c>
      <c r="I73" s="25" t="inlineStr">
        <is>
          <t>Company-wide fiscal-year-end MRR is not provided in the reviewed report. Cloud revenue, deferred revenue and remaining performance obligations are not MRR/ARR.</t>
        </is>
      </c>
    </row>
    <row r="74" ht="78" customHeight="1">
      <c r="A74" s="25" t="n">
        <v>2023</v>
      </c>
      <c r="B74" s="25" t="inlineStr">
        <is>
          <t>market_value_debt</t>
        </is>
      </c>
      <c r="C74" s="25" t="inlineStr"/>
      <c r="D74" s="25" t="inlineStr"/>
      <c r="E74" s="25" t="inlineStr">
        <is>
          <t>unavailable</t>
        </is>
      </c>
      <c r="F74" s="25" t="n"/>
      <c r="G74" s="25" t="inlineStr"/>
      <c r="H74" s="25" t="inlineStr"/>
      <c r="I74" s="25" t="inlineStr">
        <is>
          <t>Not needed at this historical endpoint and not disclosed in the comparative balance sheets/notes selected for this case.</t>
        </is>
      </c>
    </row>
    <row r="75" ht="78" customHeight="1">
      <c r="A75" s="25" t="n">
        <v>2024</v>
      </c>
      <c r="B75" s="25" t="inlineStr">
        <is>
          <t>ebitda</t>
        </is>
      </c>
      <c r="C75" s="25" t="inlineStr">
        <is>
          <t>129433000000.0</t>
        </is>
      </c>
      <c r="D75" s="25" t="inlineStr">
        <is>
          <t>absolute USD</t>
        </is>
      </c>
      <c r="E75" s="25" t="inlineStr">
        <is>
          <t>derived_approximate</t>
        </is>
      </c>
      <c r="F75" s="25" t="inlineStr">
        <is>
          <t>operating-ebitda-separate-da-v1</t>
        </is>
      </c>
      <c r="G75" s="25" t="inlineStr">
        <is>
          <t>See Derivations sheet for components and exact evidence</t>
        </is>
      </c>
      <c r="H75" s="25" t="inlineStr">
        <is>
          <t>row 3, column ebit; {'file': 'research/microsoft_fy2025/raw/definition_notes_excerpts.txt', 'line': 53, 'web_extracted_line': 1386}; {'file': 'research/microsoft_fy2025/raw/official_report_excerpts.txt', 'line': 194, 'web_extracted_line': 1476}</t>
        </is>
      </c>
      <c r="I75" s="25" t="inlineStr">
        <is>
          <t>Approximate reconstructed operating EBITDA: operating EBIT + separately disclosed depreciation + intangible amortization; rounded source components. Not reported EBITDA; no extra ROU add-back.</t>
        </is>
      </c>
    </row>
    <row r="76" ht="78" customHeight="1">
      <c r="A76" s="25" t="n">
        <v>2024</v>
      </c>
      <c r="B76" s="25" t="inlineStr">
        <is>
          <t>market_cap</t>
        </is>
      </c>
      <c r="C76" s="25" t="inlineStr">
        <is>
          <t>unavailable</t>
        </is>
      </c>
      <c r="D76" s="25" t="inlineStr"/>
      <c r="E76" s="25" t="inlineStr">
        <is>
          <t>unavailable</t>
        </is>
      </c>
      <c r="F76" s="25" t="n"/>
      <c r="G76" s="25" t="inlineStr"/>
      <c r="H76" s="25" t="inlineStr"/>
      <c r="I76" s="25" t="inlineStr">
        <is>
          <t>No June 30 closing market capitalization in the selected financial statements. FY-end shares are available, but a verified matching-date share price is required.</t>
        </is>
      </c>
    </row>
    <row r="77" ht="78" customHeight="1">
      <c r="A77" s="25" t="n">
        <v>2024</v>
      </c>
      <c r="B77" s="25" t="inlineStr">
        <is>
          <t>share_price</t>
        </is>
      </c>
      <c r="C77" s="25" t="inlineStr">
        <is>
          <t>unavailable</t>
        </is>
      </c>
      <c r="D77" s="25" t="inlineStr"/>
      <c r="E77" s="25" t="inlineStr">
        <is>
          <t>unavailable</t>
        </is>
      </c>
      <c r="F77" s="25" t="n"/>
      <c r="G77" s="25" t="inlineStr"/>
      <c r="H77" s="25" t="inlineStr"/>
      <c r="I77" s="25" t="inlineStr">
        <is>
          <t>No verified June 30 closing share price in the selected report. The total-return performance index is not a share price.</t>
        </is>
      </c>
    </row>
    <row r="78" ht="78" customHeight="1">
      <c r="A78" s="25" t="n">
        <v>2024</v>
      </c>
      <c r="B78" s="25" t="inlineStr">
        <is>
          <t>pre_tax_cost_of_debt</t>
        </is>
      </c>
      <c r="C78" s="25" t="inlineStr">
        <is>
          <t>unavailable</t>
        </is>
      </c>
      <c r="D78" s="25" t="inlineStr"/>
      <c r="E78" s="25" t="inlineStr">
        <is>
          <t>unavailable</t>
        </is>
      </c>
      <c r="F78" s="25" t="n"/>
      <c r="G78" s="25" t="inlineStr"/>
      <c r="H78" s="25" t="inlineStr"/>
      <c r="I78" s="25" t="inlineStr">
        <is>
          <t>Current marginal market borrowing cost/YTM is not established. Interest expense / debt and lease discount rates are not substituted.</t>
        </is>
      </c>
    </row>
    <row r="79" ht="78" customHeight="1">
      <c r="A79" s="25" t="n">
        <v>2024</v>
      </c>
      <c r="B79" s="25" t="inlineStr">
        <is>
          <t>risk_free_rate</t>
        </is>
      </c>
      <c r="C79" s="25" t="inlineStr">
        <is>
          <t>unavailable</t>
        </is>
      </c>
      <c r="D79" s="25" t="inlineStr"/>
      <c r="E79" s="25" t="inlineStr">
        <is>
          <t>unavailable</t>
        </is>
      </c>
      <c r="F79" s="25" t="n"/>
      <c r="G79" s="25" t="inlineStr"/>
      <c r="H79" s="25" t="inlineStr"/>
      <c r="I79" s="25" t="inlineStr">
        <is>
          <t>Requires a chosen currency-, date- and maturity-matched market assumption; not selected from the report.</t>
        </is>
      </c>
    </row>
    <row r="80" ht="78" customHeight="1">
      <c r="A80" s="25" t="n">
        <v>2024</v>
      </c>
      <c r="B80" s="25" t="inlineStr">
        <is>
          <t>equity_beta</t>
        </is>
      </c>
      <c r="C80" s="25" t="inlineStr">
        <is>
          <t>unavailable</t>
        </is>
      </c>
      <c r="D80" s="25" t="inlineStr"/>
      <c r="E80" s="25" t="inlineStr">
        <is>
          <t>unavailable</t>
        </is>
      </c>
      <c r="F80" s="25" t="n"/>
      <c r="G80" s="25" t="inlineStr"/>
      <c r="H80" s="25" t="inlineStr"/>
      <c r="I80" s="25" t="inlineStr">
        <is>
          <t>Requires a documented estimate, benchmark and observation window; not selected from the report.</t>
        </is>
      </c>
    </row>
    <row r="81" ht="78" customHeight="1">
      <c r="A81" s="25" t="n">
        <v>2024</v>
      </c>
      <c r="B81" s="25" t="inlineStr">
        <is>
          <t>equity_risk_premium</t>
        </is>
      </c>
      <c r="C81" s="25" t="inlineStr">
        <is>
          <t>unavailable</t>
        </is>
      </c>
      <c r="D81" s="25" t="inlineStr"/>
      <c r="E81" s="25" t="inlineStr">
        <is>
          <t>unavailable</t>
        </is>
      </c>
      <c r="F81" s="25" t="n"/>
      <c r="G81" s="25" t="inlineStr"/>
      <c r="H81" s="25" t="inlineStr"/>
      <c r="I81" s="25" t="inlineStr">
        <is>
          <t>Requires an explicit market-risk-premium assumption; not selected from the report.</t>
        </is>
      </c>
    </row>
    <row r="82" ht="78" customHeight="1">
      <c r="A82" s="25" t="n">
        <v>2024</v>
      </c>
      <c r="B82" s="25" t="inlineStr">
        <is>
          <t>marginal_tax_rate</t>
        </is>
      </c>
      <c r="C82" s="25" t="inlineStr">
        <is>
          <t>unavailable</t>
        </is>
      </c>
      <c r="D82" s="25" t="inlineStr"/>
      <c r="E82" s="25" t="inlineStr">
        <is>
          <t>unavailable</t>
        </is>
      </c>
      <c r="F82" s="25" t="n"/>
      <c r="G82" s="25" t="inlineStr"/>
      <c r="H82" s="25" t="inlineStr"/>
      <c r="I82" s="25" t="inlineStr">
        <is>
          <t>Effective tax rate/provision is not a marginal tax-rate assumption for WACC.</t>
        </is>
      </c>
    </row>
    <row r="83" ht="78" customHeight="1">
      <c r="A83" s="25" t="n">
        <v>2024</v>
      </c>
      <c r="B83" s="25" t="inlineStr">
        <is>
          <t>monthly_recurring_revenue</t>
        </is>
      </c>
      <c r="C83" s="25" t="inlineStr">
        <is>
          <t>unavailable</t>
        </is>
      </c>
      <c r="D83" s="25" t="inlineStr"/>
      <c r="E83" s="25" t="inlineStr">
        <is>
          <t>unavailable</t>
        </is>
      </c>
      <c r="F83" s="25" t="n"/>
      <c r="G8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83" s="25" t="inlineStr">
        <is>
          <t>research/microsoft_fy2025/raw/definition_notes_excerpts.txt:248 (web L1643); research/microsoft_fy2025/raw/definition_notes_excerpts.txt:259 (web L1654)</t>
        </is>
      </c>
      <c r="I83" s="25" t="inlineStr">
        <is>
          <t>Company-wide fiscal-year-end MRR is not provided in the reviewed report. Cloud revenue, deferred revenue and remaining performance obligations are not MRR/ARR.</t>
        </is>
      </c>
    </row>
    <row r="84" ht="78" customHeight="1">
      <c r="A84" s="25" t="n">
        <v>2024</v>
      </c>
      <c r="B84" s="25" t="inlineStr">
        <is>
          <t>market_value_debt</t>
        </is>
      </c>
      <c r="C84" s="25" t="inlineStr"/>
      <c r="D84" s="25" t="inlineStr"/>
      <c r="E84" s="25" t="inlineStr">
        <is>
          <t>unavailable</t>
        </is>
      </c>
      <c r="F84" s="25" t="n"/>
      <c r="G84" s="25" t="inlineStr"/>
      <c r="H84" s="25" t="inlineStr"/>
      <c r="I84" s="25" t="inlineStr">
        <is>
          <t>Not needed at this historical endpoint and not disclosed in the comparative balance sheets/notes selected for this case.</t>
        </is>
      </c>
    </row>
    <row r="85" ht="78" customHeight="1">
      <c r="A85" s="25" t="n">
        <v>2025</v>
      </c>
      <c r="B85" s="25" t="inlineStr">
        <is>
          <t>ebitda</t>
        </is>
      </c>
      <c r="C85" s="25" t="inlineStr">
        <is>
          <t>156528000000.0</t>
        </is>
      </c>
      <c r="D85" s="25" t="inlineStr">
        <is>
          <t>absolute USD</t>
        </is>
      </c>
      <c r="E85" s="25" t="inlineStr">
        <is>
          <t>derived_approximate</t>
        </is>
      </c>
      <c r="F85" s="25" t="inlineStr">
        <is>
          <t>operating-ebitda-separate-da-v1</t>
        </is>
      </c>
      <c r="G85" s="25" t="inlineStr">
        <is>
          <t>See Derivations sheet for components and exact evidence</t>
        </is>
      </c>
      <c r="H85" s="25" t="inlineStr">
        <is>
          <t>row 4, column ebit; {'file': 'research/microsoft_fy2025/raw/definition_notes_excerpts.txt', 'line': 53, 'web_extracted_line': 1386}; {'file': 'research/microsoft_fy2025/raw/official_report_excerpts.txt', 'line': 194, 'web_extracted_line': 1476}</t>
        </is>
      </c>
      <c r="I85" s="25" t="inlineStr">
        <is>
          <t>Approximate reconstructed operating EBITDA: operating EBIT + separately disclosed depreciation + intangible amortization; rounded source components. Not reported EBITDA; no extra ROU add-back.</t>
        </is>
      </c>
    </row>
    <row r="86" ht="78" customHeight="1">
      <c r="A86" s="25" t="n">
        <v>2025</v>
      </c>
      <c r="B86" s="25" t="inlineStr">
        <is>
          <t>market_cap</t>
        </is>
      </c>
      <c r="C86" s="25" t="inlineStr">
        <is>
          <t>unavailable</t>
        </is>
      </c>
      <c r="D86" s="25" t="inlineStr"/>
      <c r="E86" s="25" t="inlineStr">
        <is>
          <t>unavailable</t>
        </is>
      </c>
      <c r="F86" s="25" t="n"/>
      <c r="G86" s="25" t="inlineStr"/>
      <c r="H86" s="25" t="inlineStr"/>
      <c r="I86" s="25" t="inlineStr">
        <is>
          <t>No June 30 closing market capitalization in the selected financial statements. FY-end shares are available, but a verified matching-date share price is required.</t>
        </is>
      </c>
    </row>
    <row r="87" ht="78" customHeight="1">
      <c r="A87" s="25" t="n">
        <v>2025</v>
      </c>
      <c r="B87" s="25" t="inlineStr">
        <is>
          <t>share_price</t>
        </is>
      </c>
      <c r="C87" s="25" t="inlineStr">
        <is>
          <t>unavailable</t>
        </is>
      </c>
      <c r="D87" s="25" t="inlineStr"/>
      <c r="E87" s="25" t="inlineStr">
        <is>
          <t>unavailable</t>
        </is>
      </c>
      <c r="F87" s="25" t="n"/>
      <c r="G87" s="25" t="inlineStr"/>
      <c r="H87" s="25" t="inlineStr"/>
      <c r="I87" s="25" t="inlineStr">
        <is>
          <t>No verified June 30 closing share price in the selected report. The total-return performance index is not a share price.</t>
        </is>
      </c>
    </row>
    <row r="88" ht="78" customHeight="1">
      <c r="A88" s="25" t="n">
        <v>2025</v>
      </c>
      <c r="B88" s="25" t="inlineStr">
        <is>
          <t>pre_tax_cost_of_debt</t>
        </is>
      </c>
      <c r="C88" s="25" t="inlineStr">
        <is>
          <t>unavailable</t>
        </is>
      </c>
      <c r="D88" s="25" t="inlineStr"/>
      <c r="E88" s="25" t="inlineStr">
        <is>
          <t>unavailable</t>
        </is>
      </c>
      <c r="F88" s="25" t="n"/>
      <c r="G88" s="25" t="inlineStr"/>
      <c r="H88" s="25" t="inlineStr"/>
      <c r="I88" s="25" t="inlineStr">
        <is>
          <t>Current marginal market borrowing cost/YTM is not established. Interest expense / debt and lease discount rates are not substituted.</t>
        </is>
      </c>
    </row>
    <row r="89" ht="78" customHeight="1">
      <c r="A89" s="25" t="n">
        <v>2025</v>
      </c>
      <c r="B89" s="25" t="inlineStr">
        <is>
          <t>risk_free_rate</t>
        </is>
      </c>
      <c r="C89" s="25" t="inlineStr">
        <is>
          <t>unavailable</t>
        </is>
      </c>
      <c r="D89" s="25" t="inlineStr"/>
      <c r="E89" s="25" t="inlineStr">
        <is>
          <t>unavailable</t>
        </is>
      </c>
      <c r="F89" s="25" t="n"/>
      <c r="G89" s="25" t="inlineStr"/>
      <c r="H89" s="25" t="inlineStr"/>
      <c r="I89" s="25" t="inlineStr">
        <is>
          <t>Requires a chosen currency-, date- and maturity-matched market assumption; not selected from the report.</t>
        </is>
      </c>
    </row>
    <row r="90" ht="78" customHeight="1">
      <c r="A90" s="25" t="n">
        <v>2025</v>
      </c>
      <c r="B90" s="25" t="inlineStr">
        <is>
          <t>equity_beta</t>
        </is>
      </c>
      <c r="C90" s="25" t="inlineStr">
        <is>
          <t>unavailable</t>
        </is>
      </c>
      <c r="D90" s="25" t="inlineStr"/>
      <c r="E90" s="25" t="inlineStr">
        <is>
          <t>unavailable</t>
        </is>
      </c>
      <c r="F90" s="25" t="n"/>
      <c r="G90" s="25" t="inlineStr"/>
      <c r="H90" s="25" t="inlineStr"/>
      <c r="I90" s="25" t="inlineStr">
        <is>
          <t>Requires a documented estimate, benchmark and observation window; not selected from the report.</t>
        </is>
      </c>
    </row>
    <row r="91" ht="78" customHeight="1">
      <c r="A91" s="25" t="n">
        <v>2025</v>
      </c>
      <c r="B91" s="25" t="inlineStr">
        <is>
          <t>equity_risk_premium</t>
        </is>
      </c>
      <c r="C91" s="25" t="inlineStr">
        <is>
          <t>unavailable</t>
        </is>
      </c>
      <c r="D91" s="25" t="inlineStr"/>
      <c r="E91" s="25" t="inlineStr">
        <is>
          <t>unavailable</t>
        </is>
      </c>
      <c r="F91" s="25" t="n"/>
      <c r="G91" s="25" t="inlineStr"/>
      <c r="H91" s="25" t="inlineStr"/>
      <c r="I91" s="25" t="inlineStr">
        <is>
          <t>Requires an explicit market-risk-premium assumption; not selected from the report.</t>
        </is>
      </c>
    </row>
    <row r="92" ht="78" customHeight="1">
      <c r="A92" s="25" t="n">
        <v>2025</v>
      </c>
      <c r="B92" s="25" t="inlineStr">
        <is>
          <t>marginal_tax_rate</t>
        </is>
      </c>
      <c r="C92" s="25" t="inlineStr">
        <is>
          <t>unavailable</t>
        </is>
      </c>
      <c r="D92" s="25" t="inlineStr"/>
      <c r="E92" s="25" t="inlineStr">
        <is>
          <t>unavailable</t>
        </is>
      </c>
      <c r="F92" s="25" t="n"/>
      <c r="G92" s="25" t="inlineStr"/>
      <c r="H92" s="25" t="inlineStr"/>
      <c r="I92" s="25" t="inlineStr">
        <is>
          <t>Effective tax rate/provision is not a marginal tax-rate assumption for WACC.</t>
        </is>
      </c>
    </row>
    <row r="93" ht="78" customHeight="1">
      <c r="A93" s="25" t="n">
        <v>2025</v>
      </c>
      <c r="B93" s="25" t="inlineStr">
        <is>
          <t>monthly_recurring_revenue</t>
        </is>
      </c>
      <c r="C93" s="25" t="inlineStr">
        <is>
          <t>unavailable</t>
        </is>
      </c>
      <c r="D93" s="25" t="inlineStr"/>
      <c r="E93" s="25" t="inlineStr">
        <is>
          <t>unavailable</t>
        </is>
      </c>
      <c r="F93" s="25" t="n"/>
      <c r="G9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93" s="25" t="inlineStr">
        <is>
          <t>research/microsoft_fy2025/raw/definition_notes_excerpts.txt:248 (web L1643); research/microsoft_fy2025/raw/definition_notes_excerpts.txt:259 (web L1654)</t>
        </is>
      </c>
      <c r="I93" s="25" t="inlineStr">
        <is>
          <t>Company-wide fiscal-year-end MRR is not provided in the reviewed report. Cloud revenue, deferred revenue and remaining performance obligations are not MRR/ARR.</t>
        </is>
      </c>
    </row>
  </sheetData>
  <autoFilter ref="A3:I93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4" customWidth="1" min="3" max="3"/>
    <col width="120" customWidth="1" min="4" max="4"/>
  </cols>
  <sheetData>
    <row r="1" ht="28" customHeight="1">
      <c r="A1" s="28" t="inlineStr">
        <is>
          <t>Recipe</t>
        </is>
      </c>
      <c r="B1" s="28" t="inlineStr">
        <is>
          <t>FY</t>
        </is>
      </c>
      <c r="C1" s="28" t="inlineStr">
        <is>
          <t>Value (absolute USD)</t>
        </is>
      </c>
      <c r="D1" s="28" t="inlineStr">
        <is>
          <t>Source / rounding / caveat</t>
        </is>
      </c>
    </row>
    <row r="2" ht="120" customHeight="1">
      <c r="A2" s="28" t="inlineStr">
        <is>
          <t>operating-ebitda-separate-da-v1</t>
        </is>
      </c>
      <c r="B2" s="28" t="n">
        <v>2023</v>
      </c>
      <c r="C2" s="28" t="inlineStr">
        <is>
          <t>102023000000.0</t>
        </is>
      </c>
      <c r="D2" s="28" t="inlineStr">
        <is>
          <t>{"recipe": "operating-ebitda-separate-da-v1", "fiscal_year": 2023, "note": "Approximate reconstructed operating EBITDA: operating EBIT + separately disclosed depreciation + intangible amortization; rounded source components. Not reported EBITDA; no extra ROU add-back.", "components": {"ebit": "88523000000", "ebit_sources": [{"source_file": "/Users/leonidpofa/VSCodeHruchevoPY/quant/Excel_automation/research/microsoft_fy2025/financials.csv", "source_sheet": null, "source_row": 2, "source_column": "ebit", "source_locator": "row 2, column ebit", "original_value": "88523", "original_unit": "millions", "candidate_id": null, "revision": null, "source_sha256": null}], "depreciation": {"value": "11.0", "unit": "billions", "label": "depreciation", "source_file": "research/microsoft_fy2025/raw/definition_notes_excerpts.txt", "source_sha256": "a6692b935a84d49b38c6fc1ba22169c52a093b0cb09251b6a59cb6773d4e66a9", "locator": {"file": "research/microsoft_fy2025/raw/definition_notes_excerpts.txt", "line": 53, "web_extracted_line": 1386}, "url": "https://www.microsoft.com/investor/reports/ar25/", "published_rounding": "0.1 billion USD"}, "intangible_amortization": {"value": "2.5", "unit": "billions", "label": "intangible_amortization", "source_file": "research/microsoft_fy2025/raw/official_report_excerpts.txt", "source_sha256": "639edbc6f0c3cc02cad90a481c9789d9e5c48814c7710462b22a635c4f517744", "locator": {"file": "research/microsoft_fy2025/raw/official_report_excerpts.txt", "line": 194, "web_extracted_line": 1476}, "url": "https://www.microsoft.com/investor/reports/ar25/", "published_rounding": "0.1 billion USD"}}}</t>
        </is>
      </c>
    </row>
    <row r="3" ht="120" customHeight="1">
      <c r="A3" s="28" t="inlineStr">
        <is>
          <t>operating-ebitda-separate-da-v1</t>
        </is>
      </c>
      <c r="B3" s="28" t="n">
        <v>2024</v>
      </c>
      <c r="C3" s="28" t="inlineStr">
        <is>
          <t>129433000000.0</t>
        </is>
      </c>
      <c r="D3" s="28" t="inlineStr">
        <is>
          <t>{"recipe": "operating-ebitda-separate-da-v1", "fiscal_year": 2024, "note": "Approximate reconstructed operating EBITDA: operating EBIT + separately disclosed depreciation + intangible amortization; rounded source components. Not reported EBITDA; no extra ROU add-back.", "components": {"ebit": "109433000000", "ebit_sources": [{"source_file": "/Users/leonidpofa/VSCodeHruchevoPY/quant/Excel_automation/research/microsoft_fy2025/financials.csv", "source_sheet": null, "source_row": 3, "source_column": "ebit", "source_locator": "row 3, column ebit", "original_value": "109433", "original_unit": "millions", "candidate_id": null, "revision": null, "source_sha256": null}], "depreciation": {"value": "15.2", "unit": "billions", "label": "depreciation", "source_file": "research/microsoft_fy2025/raw/definition_notes_excerpts.txt", "source_sha256": "a6692b935a84d49b38c6fc1ba22169c52a093b0cb09251b6a59cb6773d4e66a9", "locator": {"file": "research/microsoft_fy2025/raw/definition_notes_excerpts.txt", "line": 53, "web_extracted_line": 1386}, "url": "https://www.microsoft.com/investor/reports/ar25/", "published_rounding": "0.1 billion USD"}, "intangible_amortization": {"value": "4.8", "unit": "billions", "label": "intangible_amortization", "source_file": "research/microsoft_fy2025/raw/official_report_excerpts.txt", "source_sha256": "639edbc6f0c3cc02cad90a481c9789d9e5c48814c7710462b22a635c4f517744", "locator": {"file": "research/microsoft_fy2025/raw/official_report_excerpts.txt", "line": 194, "web_extracted_line": 1476}, "url": "https://www.microsoft.com/investor/reports/ar25/", "published_rounding": "0.1 billion USD"}}}</t>
        </is>
      </c>
    </row>
    <row r="4" ht="120" customHeight="1">
      <c r="A4" s="28" t="inlineStr">
        <is>
          <t>operating-ebitda-separate-da-v1</t>
        </is>
      </c>
      <c r="B4" s="28" t="n">
        <v>2025</v>
      </c>
      <c r="C4" s="28" t="inlineStr">
        <is>
          <t>156528000000.0</t>
        </is>
      </c>
      <c r="D4" s="28" t="inlineStr">
        <is>
          <t>{"recipe": "operating-ebitda-separate-da-v1", "fiscal_year": 2025, "note": "Approximate reconstructed operating EBITDA: operating EBIT + separately disclosed depreciation + intangible amortization; rounded source components. Not reported EBITDA; no extra ROU add-back.", "components": {"ebit": "128528000000", "ebit_sources": [{"source_file": "/Users/leonidpofa/VSCodeHruchevoPY/quant/Excel_automation/research/microsoft_fy2025/financials.csv", "source_sheet": null, "source_row": 4, "source_column": "ebit", "source_locator": "row 4, column ebit", "original_value": "128528", "original_unit": "millions", "candidate_id": null, "revision": null, "source_sha256": null}], "depreciation": {"value": "22.0", "unit": "billions", "label": "depreciation", "source_file": "research/microsoft_fy2025/raw/definition_notes_excerpts.txt", "source_sha256": "a6692b935a84d49b38c6fc1ba22169c52a093b0cb09251b6a59cb6773d4e66a9", "locator": {"file": "research/microsoft_fy2025/raw/definition_notes_excerpts.txt", "line": 53, "web_extracted_line": 1386}, "url": "https://www.microsoft.com/investor/reports/ar25/", "published_rounding": "0.1 billion USD"}, "intangible_amortization": {"value": "6.0", "unit": "billions", "label": "intangible_amortization", "source_file": "research/microsoft_fy2025/raw/official_report_excerpts.txt", "source_sha256": "639edbc6f0c3cc02cad90a481c9789d9e5c48814c7710462b22a635c4f517744", "locator": {"file": "research/microsoft_fy2025/raw/official_report_excerpts.txt", "line": 194, "web_extracted_line": 1476}, "url": "https://www.microsoft.com/investor/reports/ar25/", "published_rounding": "0.1 billion USD"}}}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2026-10-15T02:48:16Z</dcterms:created>
  <dcterms:modified xsi:type="dcterms:W3CDTF">2026-10-15T20:36:01Z</dcterms:modified>
</cp:coreProperties>
</file>