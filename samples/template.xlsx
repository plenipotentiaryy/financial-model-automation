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ssumptions" sheetId="2" state="visible" r:id="rId2"/>
    <sheet name="Calculations" sheetId="3" state="visible" r:id="rId3"/>
    <sheet name="Inputs" sheetId="4" state="visible" r:id="rId4"/>
    <sheet name="Checks" sheetId="5" state="visible" r:id="rId5"/>
    <sheet name="Source_Map" sheetId="6" state="visible" r:id="rId6"/>
    <sheet name="Data_Dictionary" sheetId="7" state="visible" r:id="rId7"/>
  </sheets>
  <definedNames>
    <definedName name="_xlnm._FilterDatabase" localSheetId="4" hidden="1">'Checks'!$A$4:$F$1004</definedName>
    <definedName name="_xlnm._FilterDatabase" localSheetId="5" hidden="1">'Source_Map'!$A$4:$Q$10004</definedName>
    <definedName name="_xlnm._FilterDatabase" localSheetId="6" hidden="1">'Data_Dictionary'!$A$4:$G$32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,,;(#,##0.0,,);&quot;—&quot;"/>
    <numFmt numFmtId="165" formatCode="0.0%;(0.0%);&quot;—&quot;"/>
    <numFmt numFmtId="166" formatCode="0.0&quot;x&quot;;(0.0&quot;x&quot;);&quot;—&quot;"/>
    <numFmt numFmtId="167" formatCode="#,##0.0;(#,##0.0);&quot;—&quot;"/>
  </numFmts>
  <fonts count="7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color rgb="00202B3C"/>
      <sz val="10"/>
    </font>
    <font>
      <name val="Arial"/>
      <b val="1"/>
      <color rgb="001E3554"/>
      <sz val="14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FF4FC"/>
      </patternFill>
    </fill>
    <fill>
      <patternFill patternType="solid">
        <fgColor rgb="00253E5E"/>
      </patternFill>
    </fill>
  </fills>
  <borders count="2">
    <border>
      <left/>
      <right/>
      <top/>
      <bottom/>
      <diagonal/>
    </border>
    <border>
      <bottom style="hair">
        <color rgb="00DDE4E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5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FF0D2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3E5E"/>
    <outlinePr summaryBelow="1" summaryRight="1"/>
    <pageSetUpPr fitToPage="1"/>
  </sheetPr>
  <dimension ref="A1:E4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82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Financial KPI report — 28 metrics</t>
        </is>
      </c>
      <c r="B2" s="1" t="n"/>
      <c r="C2" s="1" t="n"/>
      <c r="D2" s="1" t="n"/>
      <c r="E2" s="1" t="n"/>
    </row>
    <row r="3">
      <c r="A3" s="1" t="inlineStr">
        <is>
          <t>Company</t>
        </is>
      </c>
      <c r="B3" s="1">
        <f>IF(Inputs!B2&lt;&gt;"",Inputs!B2,"")</f>
        <v/>
      </c>
      <c r="C3" s="1" t="n"/>
      <c r="D3" s="1" t="n"/>
      <c r="E3" s="1" t="n"/>
    </row>
    <row r="4">
      <c r="A4" s="1" t="inlineStr">
        <is>
          <t>Fiscal year / currency</t>
        </is>
      </c>
      <c r="B4" s="1">
        <f>IF(ISNUMBER(Inputs!C3),Inputs!C3,"")</f>
        <v/>
      </c>
      <c r="C4" s="1">
        <f>IF(Inputs!C4&lt;&gt;"",Inputs!C4,"")</f>
        <v/>
      </c>
      <c r="D4" s="1" t="n"/>
      <c r="E4" s="1" t="n"/>
    </row>
    <row r="5">
      <c r="A5" s="1" t="n"/>
      <c r="B5" s="1" t="n"/>
      <c r="C5" s="1" t="n"/>
      <c r="D5" s="1" t="n"/>
      <c r="E5" s="1" t="n"/>
    </row>
    <row r="6" ht="30" customHeight="1">
      <c r="A6" s="3" t="inlineStr">
        <is>
          <t>Metric</t>
        </is>
      </c>
      <c r="B6" s="3" t="inlineStr">
        <is>
          <t>Result</t>
        </is>
      </c>
      <c r="C6" s="3" t="inlineStr">
        <is>
          <t>Basis / units</t>
        </is>
      </c>
      <c r="D6" s="3" t="inlineStr">
        <is>
          <t>Input status at build</t>
        </is>
      </c>
      <c r="E6" s="3" t="inlineStr">
        <is>
          <t>Details at build</t>
        </is>
      </c>
    </row>
    <row r="7" ht="48" customHeight="1">
      <c r="A7" s="4" t="inlineStr">
        <is>
          <t>Revenue growth YoY</t>
        </is>
      </c>
      <c r="B7" s="5">
        <f>IF(ISNUMBER(Calculations!B2),Calculations!B2,"")</f>
        <v/>
      </c>
      <c r="C7" s="4" t="inlineStr">
        <is>
          <t>Annual / FY-end basis</t>
        </is>
      </c>
      <c r="D7" s="4" t="n"/>
      <c r="E7" s="4" t="n"/>
    </row>
    <row r="8" ht="48" customHeight="1">
      <c r="A8" s="4" t="inlineStr">
        <is>
          <t>EBITDA margin</t>
        </is>
      </c>
      <c r="B8" s="5">
        <f>IF(ISNUMBER(Calculations!B3),Calculations!B3,"")</f>
        <v/>
      </c>
      <c r="C8" s="4" t="inlineStr">
        <is>
          <t>Annual / FY-end basis</t>
        </is>
      </c>
      <c r="D8" s="4" t="n"/>
      <c r="E8" s="4" t="n"/>
    </row>
    <row r="9" ht="48" customHeight="1">
      <c r="A9" s="4" t="inlineStr">
        <is>
          <t>Net debt</t>
        </is>
      </c>
      <c r="B9" s="6">
        <f>IF(ISNUMBER(Calculations!B4),Calculations!B4,"")</f>
        <v/>
      </c>
      <c r="C9" s="4">
        <f>IF(Inputs!C4&lt;&gt;"",Inputs!C4&amp;", millions","")</f>
        <v/>
      </c>
      <c r="D9" s="4" t="n"/>
      <c r="E9" s="4" t="n"/>
    </row>
    <row r="10" ht="48" customHeight="1">
      <c r="A10" s="4" t="inlineStr">
        <is>
          <t>Net debt / EBITDA</t>
        </is>
      </c>
      <c r="B10" s="7">
        <f>IF(ISNUMBER(Calculations!B5),Calculations!B5,"")</f>
        <v/>
      </c>
      <c r="C10" s="4" t="inlineStr">
        <is>
          <t>Multiple</t>
        </is>
      </c>
      <c r="D10" s="4" t="n"/>
      <c r="E10" s="4" t="n"/>
    </row>
    <row r="11" ht="48" customHeight="1">
      <c r="A11" s="4" t="inlineStr">
        <is>
          <t>ARR</t>
        </is>
      </c>
      <c r="B11" s="6">
        <f>IF(ISNUMBER(Calculations!B6),Calculations!B6,"")</f>
        <v/>
      </c>
      <c r="C11" s="4">
        <f>IF(Inputs!C4&lt;&gt;"",Inputs!C4&amp;", millions","")</f>
        <v/>
      </c>
      <c r="D11" s="4" t="n"/>
      <c r="E11" s="4" t="n"/>
    </row>
    <row r="12" ht="48" customHeight="1">
      <c r="A12" s="4" t="inlineStr">
        <is>
          <t>WACC</t>
        </is>
      </c>
      <c r="B12" s="5">
        <f>IF(ISNUMBER(Calculations!B7),Calculations!B7,"")</f>
        <v/>
      </c>
      <c r="C12" s="4" t="inlineStr">
        <is>
          <t>Market weights / CAPM</t>
        </is>
      </c>
      <c r="D12" s="4" t="n"/>
      <c r="E12" s="4" t="n"/>
    </row>
    <row r="13" ht="48" customHeight="1">
      <c r="A13" s="4" t="inlineStr">
        <is>
          <t>Gross margin</t>
        </is>
      </c>
      <c r="B13" s="5">
        <f>IF(ISNUMBER(Calculations!B8),Calculations!B8,"")</f>
        <v/>
      </c>
      <c r="C13" s="4" t="inlineStr">
        <is>
          <t>Annual / FY-end basis</t>
        </is>
      </c>
      <c r="D13" s="4" t="n"/>
      <c r="E13" s="4" t="n"/>
    </row>
    <row r="14" ht="48" customHeight="1">
      <c r="A14" s="4" t="inlineStr">
        <is>
          <t>EBIT margin</t>
        </is>
      </c>
      <c r="B14" s="5">
        <f>IF(ISNUMBER(Calculations!B9),Calculations!B9,"")</f>
        <v/>
      </c>
      <c r="C14" s="4" t="inlineStr">
        <is>
          <t>Annual / FY-end basis</t>
        </is>
      </c>
      <c r="D14" s="4" t="n"/>
      <c r="E14" s="4" t="n"/>
    </row>
    <row r="15" ht="48" customHeight="1">
      <c r="A15" s="4" t="inlineStr">
        <is>
          <t>Net profit margin</t>
        </is>
      </c>
      <c r="B15" s="5">
        <f>IF(ISNUMBER(Calculations!B10),Calculations!B10,"")</f>
        <v/>
      </c>
      <c r="C15" s="4" t="inlineStr">
        <is>
          <t>Annual / FY-end basis</t>
        </is>
      </c>
      <c r="D15" s="4" t="n"/>
      <c r="E15" s="4" t="n"/>
    </row>
    <row r="16" ht="48" customHeight="1">
      <c r="A16" s="4" t="inlineStr">
        <is>
          <t>Free cash flow</t>
        </is>
      </c>
      <c r="B16" s="6">
        <f>IF(ISNUMBER(Calculations!B11),Calculations!B11,"")</f>
        <v/>
      </c>
      <c r="C16" s="4">
        <f>IF(Inputs!C4&lt;&gt;"",Inputs!C4&amp;", millions","")</f>
        <v/>
      </c>
      <c r="D16" s="4" t="n"/>
      <c r="E16" s="4" t="n"/>
    </row>
    <row r="17" ht="48" customHeight="1">
      <c r="A17" s="4" t="inlineStr">
        <is>
          <t>FCF margin</t>
        </is>
      </c>
      <c r="B17" s="5">
        <f>IF(ISNUMBER(Calculations!B12),Calculations!B12,"")</f>
        <v/>
      </c>
      <c r="C17" s="4" t="inlineStr">
        <is>
          <t>Annual / FY-end basis</t>
        </is>
      </c>
      <c r="D17" s="4" t="n"/>
      <c r="E17" s="4" t="n"/>
    </row>
    <row r="18" ht="48" customHeight="1">
      <c r="A18" s="4" t="inlineStr">
        <is>
          <t>Current ratio</t>
        </is>
      </c>
      <c r="B18" s="7">
        <f>IF(ISNUMBER(Calculations!B13),Calculations!B13,"")</f>
        <v/>
      </c>
      <c r="C18" s="4" t="inlineStr">
        <is>
          <t>Multiple</t>
        </is>
      </c>
      <c r="D18" s="4" t="n"/>
      <c r="E18" s="4" t="n"/>
    </row>
    <row r="19" ht="48" customHeight="1">
      <c r="A19" s="4" t="inlineStr">
        <is>
          <t>Quick ratio</t>
        </is>
      </c>
      <c r="B19" s="7">
        <f>IF(ISNUMBER(Calculations!B14),Calculations!B14,"")</f>
        <v/>
      </c>
      <c r="C19" s="4" t="inlineStr">
        <is>
          <t>Multiple</t>
        </is>
      </c>
      <c r="D19" s="4" t="n"/>
      <c r="E19" s="4" t="n"/>
    </row>
    <row r="20" ht="48" customHeight="1">
      <c r="A20" s="4" t="inlineStr">
        <is>
          <t>Interest coverage</t>
        </is>
      </c>
      <c r="B20" s="7">
        <f>IF(ISNUMBER(Calculations!B15),Calculations!B15,"")</f>
        <v/>
      </c>
      <c r="C20" s="4" t="inlineStr">
        <is>
          <t>Multiple</t>
        </is>
      </c>
      <c r="D20" s="4" t="n"/>
      <c r="E20" s="4" t="n"/>
    </row>
    <row r="21" ht="48" customHeight="1">
      <c r="A21" s="4" t="inlineStr">
        <is>
          <t>Return on assets</t>
        </is>
      </c>
      <c r="B21" s="5">
        <f>IF(ISNUMBER(Calculations!B16),Calculations!B16,"")</f>
        <v/>
      </c>
      <c r="C21" s="4" t="inlineStr">
        <is>
          <t>Annual / FY-end basis</t>
        </is>
      </c>
      <c r="D21" s="4" t="n"/>
      <c r="E21" s="4" t="n"/>
    </row>
    <row r="22" ht="48" customHeight="1">
      <c r="A22" s="4" t="inlineStr">
        <is>
          <t>Return on equity</t>
        </is>
      </c>
      <c r="B22" s="5">
        <f>IF(ISNUMBER(Calculations!B17),Calculations!B17,"")</f>
        <v/>
      </c>
      <c r="C22" s="4" t="inlineStr">
        <is>
          <t>Annual / FY-end basis</t>
        </is>
      </c>
      <c r="D22" s="4" t="n"/>
      <c r="E22" s="4" t="n"/>
    </row>
    <row r="23" ht="48" customHeight="1">
      <c r="A23" s="4" t="inlineStr">
        <is>
          <t>Enterprise value (simplified)</t>
        </is>
      </c>
      <c r="B23" s="6">
        <f>IF(ISNUMBER(Calculations!B18),Calculations!B18,"")</f>
        <v/>
      </c>
      <c r="C23" s="4">
        <f>IF(Inputs!C4&lt;&gt;"",Inputs!C4&amp;", millions","")</f>
        <v/>
      </c>
      <c r="D23" s="4" t="n"/>
      <c r="E23" s="4" t="n"/>
    </row>
    <row r="24" ht="48" customHeight="1">
      <c r="A24" s="4" t="inlineStr">
        <is>
          <t>EV / Revenue</t>
        </is>
      </c>
      <c r="B24" s="7">
        <f>IF(ISNUMBER(Calculations!B19),Calculations!B19,"")</f>
        <v/>
      </c>
      <c r="C24" s="4" t="inlineStr">
        <is>
          <t>Multiple</t>
        </is>
      </c>
      <c r="D24" s="4" t="n"/>
      <c r="E24" s="4" t="n"/>
    </row>
    <row r="25" ht="48" customHeight="1">
      <c r="A25" s="4" t="inlineStr">
        <is>
          <t>EV / EBITDA</t>
        </is>
      </c>
      <c r="B25" s="7">
        <f>IF(ISNUMBER(Calculations!B20),Calculations!B20,"")</f>
        <v/>
      </c>
      <c r="C25" s="4" t="inlineStr">
        <is>
          <t>Multiple</t>
        </is>
      </c>
      <c r="D25" s="4" t="n"/>
      <c r="E25" s="4" t="n"/>
    </row>
    <row r="26" ht="48" customHeight="1">
      <c r="A26" s="4" t="inlineStr">
        <is>
          <t>P/E</t>
        </is>
      </c>
      <c r="B26" s="7">
        <f>IF(ISNUMBER(Calculations!B21),Calculations!B21,"")</f>
        <v/>
      </c>
      <c r="C26" s="4" t="inlineStr">
        <is>
          <t>Multiple</t>
        </is>
      </c>
      <c r="D26" s="4" t="n"/>
      <c r="E26" s="4" t="n"/>
    </row>
    <row r="27" ht="48" customHeight="1">
      <c r="A27" s="4" t="inlineStr">
        <is>
          <t>Revenue CAGR</t>
        </is>
      </c>
      <c r="B27" s="5">
        <f>IF(ISNUMBER(Calculations!B22),Calculations!B22,"")</f>
        <v/>
      </c>
      <c r="C27" s="4" t="inlineStr">
        <is>
          <t>Annual / FY-end basis</t>
        </is>
      </c>
      <c r="D27" s="4" t="n"/>
      <c r="E27" s="4" t="n"/>
    </row>
    <row r="28" ht="48" customHeight="1">
      <c r="A28" s="4" t="inlineStr">
        <is>
          <t>EBITDA CAGR</t>
        </is>
      </c>
      <c r="B28" s="5">
        <f>IF(ISNUMBER(Calculations!B23),Calculations!B23,"")</f>
        <v/>
      </c>
      <c r="C28" s="4" t="inlineStr">
        <is>
          <t>Annual / FY-end basis</t>
        </is>
      </c>
      <c r="D28" s="4" t="n"/>
      <c r="E28" s="4" t="n"/>
    </row>
    <row r="29" ht="48" customHeight="1">
      <c r="A29" s="4" t="inlineStr">
        <is>
          <t>Net leverage change YoY</t>
        </is>
      </c>
      <c r="B29" s="7">
        <f>IF(ISNUMBER(Calculations!B24),Calculations!B24,"")</f>
        <v/>
      </c>
      <c r="C29" s="4" t="inlineStr">
        <is>
          <t>Change in turns</t>
        </is>
      </c>
      <c r="D29" s="4" t="n"/>
      <c r="E29" s="4" t="n"/>
    </row>
    <row r="30" ht="48" customHeight="1">
      <c r="A30" s="4" t="inlineStr">
        <is>
          <t>Cash conversion (CFO / EBITDA)</t>
        </is>
      </c>
      <c r="B30" s="5">
        <f>IF(ISNUMBER(Calculations!B25),Calculations!B25,"")</f>
        <v/>
      </c>
      <c r="C30" s="4" t="inlineStr">
        <is>
          <t>Annual / FY-end basis</t>
        </is>
      </c>
      <c r="D30" s="4" t="n"/>
      <c r="E30" s="4" t="n"/>
    </row>
    <row r="31" ht="48" customHeight="1">
      <c r="A31" s="4" t="inlineStr">
        <is>
          <t>Days sales outstanding</t>
        </is>
      </c>
      <c r="B31" s="8">
        <f>IF(ISNUMBER(Calculations!B26),Calculations!B26,"")</f>
        <v/>
      </c>
      <c r="C31" s="4" t="inlineStr">
        <is>
          <t>365-day convention</t>
        </is>
      </c>
      <c r="D31" s="4" t="n"/>
      <c r="E31" s="4" t="n"/>
    </row>
    <row r="32" ht="48" customHeight="1">
      <c r="A32" s="4" t="inlineStr">
        <is>
          <t>Days inventory outstanding</t>
        </is>
      </c>
      <c r="B32" s="8">
        <f>IF(ISNUMBER(Calculations!B27),Calculations!B27,"")</f>
        <v/>
      </c>
      <c r="C32" s="4" t="inlineStr">
        <is>
          <t>365-day convention</t>
        </is>
      </c>
      <c r="D32" s="4" t="n"/>
      <c r="E32" s="4" t="n"/>
    </row>
    <row r="33" ht="48" customHeight="1">
      <c r="A33" s="4" t="inlineStr">
        <is>
          <t>Days payable outstanding</t>
        </is>
      </c>
      <c r="B33" s="8">
        <f>IF(ISNUMBER(Calculations!B28),Calculations!B28,"")</f>
        <v/>
      </c>
      <c r="C33" s="4" t="inlineStr">
        <is>
          <t>365-day convention</t>
        </is>
      </c>
      <c r="D33" s="4" t="n"/>
      <c r="E33" s="4" t="n"/>
    </row>
    <row r="34" ht="48" customHeight="1">
      <c r="A34" s="4" t="inlineStr">
        <is>
          <t>Cash conversion cycle (CCC)</t>
        </is>
      </c>
      <c r="B34" s="8">
        <f>IF(ISNUMBER(Calculations!B29),Calculations!B29,"")</f>
        <v/>
      </c>
      <c r="C34" s="4" t="inlineStr">
        <is>
          <t>365-day convention</t>
        </is>
      </c>
      <c r="D34" s="4" t="n"/>
      <c r="E34" s="4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inlineStr">
        <is>
          <t>Calculation state</t>
        </is>
      </c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inlineStr">
        <is>
          <t>Statuses describe imported data at build time. Rerun after editing inputs.</t>
        </is>
      </c>
      <c r="B40" s="1" t="n"/>
      <c r="C40" s="1" t="n"/>
      <c r="D40" s="1" t="n"/>
      <c r="E40" s="1" t="n"/>
    </row>
    <row r="41">
      <c r="A41" s="1" t="inlineStr">
        <is>
          <t>CAGR: first to latest FY. ROA/ROE: average balances. Cash conversion: CFO / EBITDA.</t>
        </is>
      </c>
      <c r="B41" s="1" t="n"/>
      <c r="C41" s="1" t="n"/>
      <c r="D41" s="1" t="n"/>
      <c r="E41" s="1" t="n"/>
    </row>
    <row r="42">
      <c r="A42" s="1" t="inlineStr">
        <is>
          <t>CCC: DSO + DIO - DPO; revenue and COGS are documented credit-sales/purchases proxies.</t>
        </is>
      </c>
      <c r="B42" s="1" t="n"/>
      <c r="C42" s="1" t="n"/>
      <c r="D42" s="1" t="n"/>
      <c r="E42" s="1" t="n"/>
    </row>
  </sheetData>
  <conditionalFormatting sqref="D7:D34">
    <cfRule type="expression" priority="1" dxfId="0">
      <formula>D7&lt;&gt;"OK"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7391B2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</row>
    <row r="2">
      <c r="A2" s="2" t="inlineStr">
        <is>
          <t>Explicit cost-of-capital assumptions</t>
        </is>
      </c>
      <c r="B2" s="1" t="n"/>
    </row>
    <row r="3">
      <c r="A3" s="1" t="n"/>
      <c r="B3" s="1" t="n"/>
    </row>
    <row r="4" ht="30" customHeight="1">
      <c r="A4" s="3" t="inlineStr">
        <is>
          <t>Assumption</t>
        </is>
      </c>
      <c r="B4" s="3" t="inlineStr">
        <is>
          <t>Explicit FY-end value</t>
        </is>
      </c>
    </row>
    <row r="5">
      <c r="A5" s="1" t="inlineStr">
        <is>
          <t>Market value of debt (millions)</t>
        </is>
      </c>
      <c r="B5" s="9" t="n"/>
    </row>
    <row r="6">
      <c r="A6" s="1" t="inlineStr">
        <is>
          <t>Pre tax cost of debt</t>
        </is>
      </c>
      <c r="B6" s="10" t="n"/>
    </row>
    <row r="7">
      <c r="A7" s="1" t="inlineStr">
        <is>
          <t>Risk free rate</t>
        </is>
      </c>
      <c r="B7" s="10" t="n"/>
    </row>
    <row r="8">
      <c r="A8" s="1" t="inlineStr">
        <is>
          <t>Equity beta</t>
        </is>
      </c>
      <c r="B8" s="11" t="n"/>
    </row>
    <row r="9">
      <c r="A9" s="1" t="inlineStr">
        <is>
          <t>Equity risk premium</t>
        </is>
      </c>
      <c r="B9" s="10" t="n"/>
    </row>
    <row r="10">
      <c r="A10" s="1" t="inlineStr">
        <is>
          <t>Marginal tax rate</t>
        </is>
      </c>
      <c r="B10" s="10" t="n"/>
    </row>
    <row r="11">
      <c r="A11" s="1" t="n"/>
      <c r="B11" s="1" t="n"/>
    </row>
    <row r="12">
      <c r="A12" s="1" t="inlineStr">
        <is>
          <t>Rates are fractions (0.04 = 4%). No assumptions are estimated.</t>
        </is>
      </c>
      <c r="B12" s="1" t="n"/>
    </row>
    <row r="13">
      <c r="A13" s="1" t="inlineStr">
        <is>
          <t>Market debt is explicit; reported/book debt is not substituted.</t>
        </is>
      </c>
      <c r="B13" s="1" t="n"/>
    </row>
    <row r="14">
      <c r="A14" s="1" t="inlineStr">
        <is>
          <t>WACC: two capital components, CAPM cost of equity.</t>
        </is>
      </c>
      <c r="B1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Template-owned formulas. Money displayed in millions; days use a 365-day convention.</t>
        </is>
      </c>
      <c r="B1" s="1" t="n"/>
    </row>
    <row r="2">
      <c r="A2" s="1" t="inlineStr">
        <is>
          <t>Revenue growth YoY</t>
        </is>
      </c>
      <c r="B2" s="12">
        <f>IF(AND(ISNUMBER(Inputs!B7),ISNUMBER(Inputs!C7),Inputs!B7&lt;&gt;0),Inputs!C7/Inputs!B7-1,"")</f>
        <v/>
      </c>
    </row>
    <row r="3">
      <c r="A3" s="1" t="inlineStr">
        <is>
          <t>EBITDA margin</t>
        </is>
      </c>
      <c r="B3" s="12">
        <f>IF(AND(ISNUMBER(Inputs!C8),ISNUMBER(Inputs!C7),Inputs!C7&lt;&gt;0),Inputs!C8/Inputs!C7,"")</f>
        <v/>
      </c>
    </row>
    <row r="4">
      <c r="A4" s="1" t="inlineStr">
        <is>
          <t>Net debt</t>
        </is>
      </c>
      <c r="B4" s="13">
        <f>IF(AND(ISNUMBER(Inputs!C9),ISNUMBER(Inputs!C10)),Inputs!C9-Inputs!C10,"")</f>
        <v/>
      </c>
    </row>
    <row r="5">
      <c r="A5" s="1" t="inlineStr">
        <is>
          <t>Net debt / EBITDA</t>
        </is>
      </c>
      <c r="B5" s="14">
        <f>IF(AND(ISNUMBER(Inputs!C9),ISNUMBER(Inputs!C10),ISNUMBER(Inputs!C8),Inputs!C8&gt;0,ISNUMBER(Calculations!B4)),B4/Inputs!C8,"")</f>
        <v/>
      </c>
    </row>
    <row r="6">
      <c r="A6" s="1" t="inlineStr">
        <is>
          <t>ARR</t>
        </is>
      </c>
      <c r="B6" s="13">
        <f>IF(AND(ISNUMBER(Inputs!C30),Inputs!C30&gt;=0),Inputs!C30*12,"")</f>
        <v/>
      </c>
    </row>
    <row r="7">
      <c r="A7" s="1" t="inlineStr">
        <is>
          <t>WACC</t>
        </is>
      </c>
      <c r="B7" s="12">
        <f>IF(AND(ISNUMBER(Inputs!C27),ISNUMBER(Assumptions!B5),ISNUMBER(Assumptions!B6),ISNUMBER(Assumptions!B7),ISNUMBER(Assumptions!B8),ISNUMBER(Assumptions!B9),ISNUMBER(Assumptions!B10),Inputs!C27&gt;=0,Assumptions!B5&gt;=0,SUM(Inputs!C27,Assumptions!B5)&gt;0,Assumptions!B6&gt;=0,Assumptions!B9&gt;=0,Assumptions!B10&gt;=0,Assumptions!B10&lt;=1),Inputs!C27/SUM(Inputs!C27,Assumptions!B5)*(Assumptions!B7+Assumptions!B8*Assumptions!B9)+Assumptions!B5/SUM(Inputs!C27,Assumptions!B5)*Assumptions!B6*(1-Assumptions!B10),"")</f>
        <v/>
      </c>
    </row>
    <row r="8">
      <c r="A8" s="1" t="inlineStr">
        <is>
          <t>Gross margin</t>
        </is>
      </c>
      <c r="B8" s="12">
        <f>IF(AND(ISNUMBER(Inputs!C12),ISNUMBER(Inputs!C7),Inputs!C7&gt;0),Inputs!C12/Inputs!C7,"")</f>
        <v/>
      </c>
    </row>
    <row r="9">
      <c r="A9" s="1" t="inlineStr">
        <is>
          <t>EBIT margin</t>
        </is>
      </c>
      <c r="B9" s="12">
        <f>IF(AND(ISNUMBER(Inputs!C13),ISNUMBER(Inputs!C7),Inputs!C7&gt;0),Inputs!C13/Inputs!C7,"")</f>
        <v/>
      </c>
    </row>
    <row r="10">
      <c r="A10" s="1" t="inlineStr">
        <is>
          <t>Net profit margin</t>
        </is>
      </c>
      <c r="B10" s="12">
        <f>IF(AND(ISNUMBER(Inputs!C14),ISNUMBER(Inputs!C7),Inputs!C7&gt;0),Inputs!C14/Inputs!C7,"")</f>
        <v/>
      </c>
    </row>
    <row r="11">
      <c r="A11" s="1" t="inlineStr">
        <is>
          <t>Free cash flow</t>
        </is>
      </c>
      <c r="B11" s="13">
        <f>IF(AND(ISNUMBER(Inputs!C17),ISNUMBER(Inputs!C18),Inputs!C18&gt;=0),Inputs!C17-Inputs!C18,"")</f>
        <v/>
      </c>
    </row>
    <row r="12">
      <c r="A12" s="1" t="inlineStr">
        <is>
          <t>FCF margin</t>
        </is>
      </c>
      <c r="B12" s="12">
        <f>IF(AND(ISNUMBER(Inputs!C17),ISNUMBER(Inputs!C18),ISNUMBER(Inputs!C7),Inputs!C18&gt;=0,Inputs!C7&gt;0,ISNUMBER(Calculations!B11)),Calculations!B11/Inputs!C7,"")</f>
        <v/>
      </c>
    </row>
    <row r="13">
      <c r="A13" s="1" t="inlineStr">
        <is>
          <t>Current ratio</t>
        </is>
      </c>
      <c r="B13" s="14">
        <f>IF(AND(ISNUMBER(Inputs!C22),ISNUMBER(Inputs!C23),Inputs!C22&gt;=0,Inputs!C23&gt;0),Inputs!C22/Inputs!C23,"")</f>
        <v/>
      </c>
    </row>
    <row r="14">
      <c r="A14" s="1" t="inlineStr">
        <is>
          <t>Quick ratio</t>
        </is>
      </c>
      <c r="B14" s="14">
        <f>IF(AND(ISNUMBER(Inputs!C22),ISNUMBER(Inputs!C24),ISNUMBER(Inputs!C23),Inputs!C22&gt;=0,Inputs!C23&gt;0,Inputs!C24&gt;=0,Inputs!C24&lt;=Inputs!C22),(Inputs!C22-Inputs!C24)/Inputs!C23,"")</f>
        <v/>
      </c>
    </row>
    <row r="15">
      <c r="A15" s="1" t="inlineStr">
        <is>
          <t>Interest coverage</t>
        </is>
      </c>
      <c r="B15" s="14">
        <f>IF(AND(ISNUMBER(Inputs!C13),ISNUMBER(Inputs!C15),Inputs!C15&gt;0),Inputs!C13/Inputs!C15,"")</f>
        <v/>
      </c>
    </row>
    <row r="16">
      <c r="A16" s="1" t="inlineStr">
        <is>
          <t>Return on assets</t>
        </is>
      </c>
      <c r="B16" s="12">
        <f>IF(AND(ISNUMBER(Inputs!C14),ISNUMBER(Inputs!B20),ISNUMBER(Inputs!C20),Inputs!B20&gt;=0,Inputs!C20&gt;=0,SUM(Inputs!B20,Inputs!C20)&gt;0),Inputs!C14/AVERAGE(Inputs!B20,Inputs!C20),"")</f>
        <v/>
      </c>
    </row>
    <row r="17">
      <c r="A17" s="1" t="inlineStr">
        <is>
          <t>Return on equity</t>
        </is>
      </c>
      <c r="B17" s="12">
        <f>IF(AND(ISNUMBER(Inputs!C14),ISNUMBER(Inputs!B21),ISNUMBER(Inputs!C21),Inputs!B21&gt;=0,Inputs!C21&gt;=0,SUM(Inputs!B21,Inputs!C21)&gt;0),Inputs!C14/AVERAGE(Inputs!B21,Inputs!C21),"")</f>
        <v/>
      </c>
    </row>
    <row r="18">
      <c r="A18" s="1" t="inlineStr">
        <is>
          <t>Enterprise value (simplified)</t>
        </is>
      </c>
      <c r="B18" s="13">
        <f>IF(AND(ISNUMBER(Inputs!C27),ISNUMBER(Inputs!C9),ISNUMBER(Inputs!C10),Inputs!C27&gt;=0,Inputs!C9&gt;=0,Inputs!C10&gt;=0),Inputs!C27+Inputs!C9-Inputs!C10,"")</f>
        <v/>
      </c>
    </row>
    <row r="19">
      <c r="A19" s="1" t="inlineStr">
        <is>
          <t>EV / Revenue</t>
        </is>
      </c>
      <c r="B19" s="14">
        <f>IF(AND(ISNUMBER(Inputs!C27),ISNUMBER(Inputs!C9),ISNUMBER(Inputs!C10),ISNUMBER(Inputs!C7),Inputs!C27&gt;=0,Inputs!C9&gt;=0,Inputs!C10&gt;=0,Inputs!C7&gt;0,ISNUMBER(Calculations!B18)),Calculations!B18/Inputs!C7,"")</f>
        <v/>
      </c>
    </row>
    <row r="20">
      <c r="A20" s="1" t="inlineStr">
        <is>
          <t>EV / EBITDA</t>
        </is>
      </c>
      <c r="B20" s="14">
        <f>IF(AND(ISNUMBER(Inputs!C27),ISNUMBER(Inputs!C9),ISNUMBER(Inputs!C10),ISNUMBER(Inputs!C8),Inputs!C27&gt;=0,Inputs!C9&gt;=0,Inputs!C10&gt;=0,Inputs!C8&gt;0,ISNUMBER(Calculations!B18)),Calculations!B18/Inputs!C8,"")</f>
        <v/>
      </c>
    </row>
    <row r="21">
      <c r="A21" s="1" t="inlineStr">
        <is>
          <t>P/E</t>
        </is>
      </c>
      <c r="B21" s="14">
        <f>IF(AND(ISNUMBER(Inputs!C27),ISNUMBER(Inputs!C14),Inputs!C27&gt;=0,Inputs!C14&gt;0),Inputs!C27/Inputs!C14,"")</f>
        <v/>
      </c>
    </row>
    <row r="22">
      <c r="A22" s="1" t="inlineStr">
        <is>
          <t>Revenue CAGR</t>
        </is>
      </c>
      <c r="B22" s="12">
        <f>IF(AND(ISNUMBER(Inputs!D7),ISNUMBER(Inputs!C7),Inputs!D7&gt;0,Inputs!C7&gt;=0,ISNUMBER(Inputs!D3),ISNUMBER(Inputs!C3),Inputs!C3&gt;Inputs!D3),(Inputs!C7/Inputs!D7)^(1/(Inputs!C3-Inputs!D3))-1,"")</f>
        <v/>
      </c>
    </row>
    <row r="23">
      <c r="A23" s="1" t="inlineStr">
        <is>
          <t>EBITDA CAGR</t>
        </is>
      </c>
      <c r="B23" s="12">
        <f>IF(AND(ISNUMBER(Inputs!D8),ISNUMBER(Inputs!C8),Inputs!D8&gt;0,Inputs!C8&gt;=0,ISNUMBER(Inputs!D3),ISNUMBER(Inputs!C3),Inputs!C3&gt;Inputs!D3),(Inputs!C8/Inputs!D8)^(1/(Inputs!C3-Inputs!D3))-1,"")</f>
        <v/>
      </c>
    </row>
    <row r="24">
      <c r="A24" s="1" t="inlineStr">
        <is>
          <t>Net leverage change YoY</t>
        </is>
      </c>
      <c r="B24" s="14">
        <f>IF(AND(ISNUMBER(Inputs!B9),ISNUMBER(Inputs!C9),ISNUMBER(Inputs!B10),ISNUMBER(Inputs!C10),ISNUMBER(Inputs!B8),ISNUMBER(Inputs!C8),Inputs!B8&gt;0,Inputs!C8&gt;0,ISNUMBER(Calculations!B5)),B5-(Inputs!B9-Inputs!B10)/Inputs!B8,"")</f>
        <v/>
      </c>
    </row>
    <row r="25">
      <c r="A25" s="1" t="inlineStr">
        <is>
          <t>Cash conversion (CFO / EBITDA)</t>
        </is>
      </c>
      <c r="B25" s="12">
        <f>IF(AND(ISNUMBER(Inputs!C17),ISNUMBER(Inputs!C8),Inputs!C8&gt;0),Inputs!C17/Inputs!C8,"")</f>
        <v/>
      </c>
    </row>
    <row r="26">
      <c r="A26" s="1" t="inlineStr">
        <is>
          <t>Days sales outstanding</t>
        </is>
      </c>
      <c r="B26" s="15">
        <f>IF(AND(ISNUMBER(Inputs!B25),ISNUMBER(Inputs!C25),ISNUMBER(Inputs!C7),Inputs!B25&gt;=0,Inputs!C25&gt;=0,Inputs!C7&gt;0),AVERAGE(Inputs!B25,Inputs!C25)/Inputs!C7*365,"")</f>
        <v/>
      </c>
    </row>
    <row r="27">
      <c r="A27" s="1" t="inlineStr">
        <is>
          <t>Days inventory outstanding</t>
        </is>
      </c>
      <c r="B27" s="15">
        <f>IF(AND(ISNUMBER(Inputs!B24),ISNUMBER(Inputs!C24),ISNUMBER(Inputs!C11),Inputs!B24&gt;=0,Inputs!C24&gt;=0,Inputs!C11&gt;0),AVERAGE(Inputs!B24,Inputs!C24)/Inputs!C11*365,"")</f>
        <v/>
      </c>
    </row>
    <row r="28">
      <c r="A28" s="1" t="inlineStr">
        <is>
          <t>Days payable outstanding</t>
        </is>
      </c>
      <c r="B28" s="15">
        <f>IF(AND(ISNUMBER(Inputs!B26),ISNUMBER(Inputs!C26),ISNUMBER(Inputs!C11),Inputs!B26&gt;=0,Inputs!C26&gt;=0,Inputs!C11&gt;0),AVERAGE(Inputs!B26,Inputs!C26)/Inputs!C11*365,"")</f>
        <v/>
      </c>
    </row>
    <row r="29">
      <c r="A29" s="1" t="inlineStr">
        <is>
          <t>Cash conversion cycle (CCC)</t>
        </is>
      </c>
      <c r="B29" s="15">
        <f>IF(AND(ISNUMBER(Inputs!B25),ISNUMBER(Inputs!C25),ISNUMBER(Inputs!C7),ISNUMBER(Inputs!B24),ISNUMBER(Inputs!C24),ISNUMBER(Inputs!C11),ISNUMBER(Inputs!B26),ISNUMBER(Inputs!C26),Inputs!B25&gt;=0,Inputs!C25&gt;=0,Inputs!C7&gt;0,Inputs!B24&gt;=0,Inputs!C24&gt;=0,Inputs!C11&gt;0,Inputs!B26&gt;=0,Inputs!C26&gt;=0,ISNUMBER(Calculations!B26),ISNUMBER(Calculations!B27),ISNUMBER(Calculations!B28)),Calculations!B26+Calculations!B27-Calculations!B28,"")</f>
        <v/>
      </c>
    </row>
    <row r="30">
      <c r="A30" s="1" t="n"/>
      <c r="B30" s="1" t="n"/>
    </row>
    <row r="31">
      <c r="A31" s="1" t="n"/>
      <c r="B31" s="1" t="n"/>
    </row>
    <row r="32">
      <c r="A32" s="1" t="inlineStr">
        <is>
          <t>Unavailable inputs or invalid denominators leave results blank; see Checks.</t>
        </is>
      </c>
      <c r="B32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</row>
    <row r="2">
      <c r="A2" s="1" t="inlineStr">
        <is>
          <t>Company</t>
        </is>
      </c>
      <c r="B2" s="1" t="n"/>
      <c r="C2" s="1" t="n"/>
      <c r="D2" s="1" t="n"/>
    </row>
    <row r="3">
      <c r="A3" s="1" t="inlineStr">
        <is>
          <t>Fiscal year</t>
        </is>
      </c>
      <c r="B3" s="1" t="n"/>
      <c r="C3" s="1" t="n"/>
      <c r="D3" s="1" t="n"/>
    </row>
    <row r="4">
      <c r="A4" s="1" t="inlineStr">
        <is>
          <t>Currency</t>
        </is>
      </c>
      <c r="B4" s="16">
        <f>IF(C4&lt;&gt;"",C4,"")</f>
        <v/>
      </c>
      <c r="C4" s="1" t="n"/>
      <c r="D4" s="1" t="n"/>
    </row>
    <row r="5">
      <c r="A5" s="1" t="inlineStr">
        <is>
          <t>Company ID / scope</t>
        </is>
      </c>
      <c r="B5" s="1" t="n"/>
      <c r="C5" s="1" t="n"/>
      <c r="D5" s="1" t="n"/>
    </row>
    <row r="6" ht="30" customHeight="1">
      <c r="A6" s="3" t="inlineStr">
        <is>
          <t>Amounts shown in millions</t>
        </is>
      </c>
      <c r="B6" s="3" t="inlineStr">
        <is>
          <t>Previous FY</t>
        </is>
      </c>
      <c r="C6" s="3" t="inlineStr">
        <is>
          <t>Latest FY</t>
        </is>
      </c>
      <c r="D6" s="3" t="inlineStr">
        <is>
          <t>First FY (CAGR only)</t>
        </is>
      </c>
    </row>
    <row r="7">
      <c r="A7" s="1" t="inlineStr">
        <is>
          <t>Revenue</t>
        </is>
      </c>
      <c r="B7" s="9" t="n"/>
      <c r="C7" s="9" t="n"/>
      <c r="D7" s="9" t="n"/>
    </row>
    <row r="8">
      <c r="A8" s="1" t="inlineStr">
        <is>
          <t>EBITDA</t>
        </is>
      </c>
      <c r="B8" s="9" t="n"/>
      <c r="C8" s="9" t="n"/>
      <c r="D8" s="9" t="n"/>
    </row>
    <row r="9">
      <c r="A9" s="1" t="inlineStr">
        <is>
          <t>Total debt</t>
        </is>
      </c>
      <c r="B9" s="9" t="n"/>
      <c r="C9" s="9" t="n"/>
      <c r="D9" s="1" t="n"/>
    </row>
    <row r="10">
      <c r="A10" s="1" t="inlineStr">
        <is>
          <t>Cash and equivalents</t>
        </is>
      </c>
      <c r="B10" s="9" t="n"/>
      <c r="C10" s="9" t="n"/>
      <c r="D10" s="1" t="n"/>
    </row>
    <row r="11">
      <c r="A11" s="1" t="inlineStr">
        <is>
          <t>Cost of goods sold</t>
        </is>
      </c>
      <c r="B11" s="9" t="n"/>
      <c r="C11" s="9" t="n"/>
      <c r="D11" s="1" t="n"/>
    </row>
    <row r="12">
      <c r="A12" s="1" t="inlineStr">
        <is>
          <t>Gross profit</t>
        </is>
      </c>
      <c r="B12" s="9" t="n"/>
      <c r="C12" s="9" t="n"/>
      <c r="D12" s="1" t="n"/>
    </row>
    <row r="13">
      <c r="A13" s="1" t="inlineStr">
        <is>
          <t>EBIT</t>
        </is>
      </c>
      <c r="B13" s="9" t="n"/>
      <c r="C13" s="9" t="n"/>
      <c r="D13" s="1" t="n"/>
    </row>
    <row r="14">
      <c r="A14" s="1" t="inlineStr">
        <is>
          <t>Net income</t>
        </is>
      </c>
      <c r="B14" s="9" t="n"/>
      <c r="C14" s="9" t="n"/>
      <c r="D14" s="1" t="n"/>
    </row>
    <row r="15">
      <c r="A15" s="1" t="inlineStr">
        <is>
          <t>Interest expense</t>
        </is>
      </c>
      <c r="B15" s="9" t="n"/>
      <c r="C15" s="9" t="n"/>
      <c r="D15" s="1" t="n"/>
    </row>
    <row r="16">
      <c r="A16" s="1" t="inlineStr">
        <is>
          <t>Income tax expense</t>
        </is>
      </c>
      <c r="B16" s="9" t="n"/>
      <c r="C16" s="9" t="n"/>
      <c r="D16" s="1" t="n"/>
    </row>
    <row r="17">
      <c r="A17" s="1" t="inlineStr">
        <is>
          <t>Operating cash flow</t>
        </is>
      </c>
      <c r="B17" s="9" t="n"/>
      <c r="C17" s="9" t="n"/>
      <c r="D17" s="1" t="n"/>
    </row>
    <row r="18">
      <c r="A18" s="1" t="inlineStr">
        <is>
          <t>Capex (positive spending)</t>
        </is>
      </c>
      <c r="B18" s="9" t="n"/>
      <c r="C18" s="9" t="n"/>
      <c r="D18" s="1" t="n"/>
    </row>
    <row r="19">
      <c r="A19" s="1" t="inlineStr">
        <is>
          <t>Dividends paid</t>
        </is>
      </c>
      <c r="B19" s="9" t="n"/>
      <c r="C19" s="9" t="n"/>
      <c r="D19" s="1" t="n"/>
    </row>
    <row r="20">
      <c r="A20" s="1" t="inlineStr">
        <is>
          <t>Total assets</t>
        </is>
      </c>
      <c r="B20" s="9" t="n"/>
      <c r="C20" s="9" t="n"/>
      <c r="D20" s="1" t="n"/>
    </row>
    <row r="21">
      <c r="A21" s="1" t="inlineStr">
        <is>
          <t>Total equity</t>
        </is>
      </c>
      <c r="B21" s="9" t="n"/>
      <c r="C21" s="9" t="n"/>
      <c r="D21" s="1" t="n"/>
    </row>
    <row r="22">
      <c r="A22" s="1" t="inlineStr">
        <is>
          <t>Current assets</t>
        </is>
      </c>
      <c r="B22" s="9" t="n"/>
      <c r="C22" s="9" t="n"/>
      <c r="D22" s="1" t="n"/>
    </row>
    <row r="23">
      <c r="A23" s="1" t="inlineStr">
        <is>
          <t>Current liabilities</t>
        </is>
      </c>
      <c r="B23" s="9" t="n"/>
      <c r="C23" s="9" t="n"/>
      <c r="D23" s="1" t="n"/>
    </row>
    <row r="24">
      <c r="A24" s="1" t="inlineStr">
        <is>
          <t>Inventory</t>
        </is>
      </c>
      <c r="B24" s="9" t="n"/>
      <c r="C24" s="9" t="n"/>
      <c r="D24" s="1" t="n"/>
    </row>
    <row r="25">
      <c r="A25" s="1" t="inlineStr">
        <is>
          <t>Accounts receivable</t>
        </is>
      </c>
      <c r="B25" s="9" t="n"/>
      <c r="C25" s="9" t="n"/>
      <c r="D25" s="1" t="n"/>
    </row>
    <row r="26">
      <c r="A26" s="1" t="inlineStr">
        <is>
          <t>Accounts payable</t>
        </is>
      </c>
      <c r="B26" s="9" t="n"/>
      <c r="C26" s="9" t="n"/>
      <c r="D26" s="1" t="n"/>
    </row>
    <row r="27">
      <c r="A27" s="1" t="inlineStr">
        <is>
          <t>Market cap</t>
        </is>
      </c>
      <c r="B27" s="9" t="n"/>
      <c r="C27" s="9" t="n"/>
      <c r="D27" s="1" t="n"/>
    </row>
    <row r="28">
      <c r="A28" s="1" t="inlineStr">
        <is>
          <t>Share price</t>
        </is>
      </c>
      <c r="B28" s="11" t="n"/>
      <c r="C28" s="11" t="n"/>
      <c r="D28" s="1" t="n"/>
    </row>
    <row r="29">
      <c r="A29" s="1" t="inlineStr">
        <is>
          <t>Shares outstanding</t>
        </is>
      </c>
      <c r="B29" s="17" t="n"/>
      <c r="C29" s="17" t="n"/>
      <c r="D29" s="1" t="n"/>
    </row>
    <row r="30">
      <c r="A30" s="1" t="inlineStr">
        <is>
          <t>Monthly recurring revenue (MRR)</t>
        </is>
      </c>
      <c r="B30" s="9" t="n"/>
      <c r="C30" s="9" t="n"/>
      <c r="D30" s="1" t="n"/>
    </row>
    <row r="31">
      <c r="A31" s="1" t="n"/>
      <c r="B31" s="1" t="n"/>
      <c r="C31" s="1" t="n"/>
      <c r="D31" s="1" t="n"/>
    </row>
    <row r="32">
      <c r="A32" s="1" t="inlineStr">
        <is>
          <t>Flows: full FY. Balances and market values: same FY end.</t>
        </is>
      </c>
      <c r="B32" s="1" t="n"/>
      <c r="C32" s="1" t="n"/>
      <c r="D32" s="1" t="n"/>
    </row>
    <row r="33">
      <c r="A33" s="1" t="inlineStr">
        <is>
          <t>Fiscal year labels do not imply 31 December.</t>
        </is>
      </c>
      <c r="B33" s="1" t="n"/>
      <c r="C33" s="1" t="n"/>
      <c r="D33" s="1" t="n"/>
    </row>
    <row r="34">
      <c r="A34" s="1" t="inlineStr">
        <is>
          <t>Share price is per share; shares are counts. Other money is shown in millions.</t>
        </is>
      </c>
      <c r="B34" s="1" t="n"/>
      <c r="C34" s="1" t="n"/>
      <c r="D3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90" customWidth="1" min="5" max="5"/>
    <col width="55" customWidth="1" min="6" max="6"/>
    <col width="24" customWidth="1" min="7" max="7"/>
  </cols>
  <sheetData>
    <row r="1">
      <c r="A1" s="4" t="n"/>
      <c r="B1" s="4" t="n"/>
      <c r="C1" s="4" t="n"/>
      <c r="D1" s="4" t="n"/>
      <c r="E1" s="4" t="n"/>
      <c r="F1" s="4" t="n"/>
    </row>
    <row r="2">
      <c r="A2" s="2" t="inlineStr">
        <is>
          <t>Validation issues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3" t="inlineStr">
        <is>
          <t>Severity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Company ID</t>
        </is>
      </c>
      <c r="E4" s="3" t="inlineStr">
        <is>
          <t>Message</t>
        </is>
      </c>
      <c r="F4" s="3" t="inlineStr">
        <is>
          <t>Source</t>
        </is>
      </c>
    </row>
    <row r="5" ht="66" customHeight="1">
      <c r="A5" s="4" t="n"/>
      <c r="B5" s="4" t="n"/>
      <c r="C5" s="4" t="n"/>
      <c r="D5" s="4" t="n"/>
      <c r="E5" s="4" t="n"/>
      <c r="F5" s="4" t="n"/>
    </row>
  </sheetData>
  <autoFilter ref="A4:F1004"/>
  <conditionalFormatting sqref="A5:F1004">
    <cfRule type="expression" priority="1" dxfId="1">
      <formula>$A5="error"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25" customWidth="1" min="4" max="4"/>
    <col width="35" customWidth="1" min="5" max="5"/>
    <col width="28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8" customWidth="1" min="12" max="12"/>
    <col width="24" customWidth="1" min="13" max="13"/>
    <col width="20" customWidth="1" min="14" max="14"/>
    <col width="20" customWidth="1" min="15" max="15"/>
    <col width="36" customWidth="1" min="16" max="16"/>
    <col width="64" customWidth="1" min="17" max="1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2" t="inlineStr">
        <is>
          <t>Source-to-cell lineage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30" customHeight="1">
      <c r="A4" s="3" t="inlineStr">
        <is>
          <t>Source file</t>
        </is>
      </c>
      <c r="B4" s="3" t="inlineStr">
        <is>
          <t>Source sheet</t>
        </is>
      </c>
      <c r="C4" s="3" t="inlineStr">
        <is>
          <t>Source row</t>
        </is>
      </c>
      <c r="D4" s="3" t="inlineStr">
        <is>
          <t>Source column</t>
        </is>
      </c>
      <c r="E4" s="3" t="inlineStr">
        <is>
          <t>Locator</t>
        </is>
      </c>
      <c r="F4" s="3" t="inlineStr">
        <is>
          <t>Field</t>
        </is>
      </c>
      <c r="G4" s="3" t="inlineStr">
        <is>
          <t>Fiscal year</t>
        </is>
      </c>
      <c r="H4" s="3" t="inlineStr">
        <is>
          <t>Period</t>
        </is>
      </c>
      <c r="I4" s="3" t="inlineStr">
        <is>
          <t>Scope</t>
        </is>
      </c>
      <c r="J4" s="3" t="inlineStr">
        <is>
          <t>Currency</t>
        </is>
      </c>
      <c r="K4" s="3" t="inlineStr">
        <is>
          <t>Original value</t>
        </is>
      </c>
      <c r="L4" s="3" t="inlineStr">
        <is>
          <t>Original unit</t>
        </is>
      </c>
      <c r="M4" s="3" t="inlineStr">
        <is>
          <t>Normalized value</t>
        </is>
      </c>
      <c r="N4" s="3" t="inlineStr">
        <is>
          <t>Canonical unit</t>
        </is>
      </c>
      <c r="O4" s="3" t="inlineStr">
        <is>
          <t>Value status</t>
        </is>
      </c>
      <c r="P4" s="3" t="inlineStr">
        <is>
          <t>Destination</t>
        </is>
      </c>
      <c r="Q4" s="3" t="inlineStr">
        <is>
          <t>Dependent metrics</t>
        </is>
      </c>
    </row>
    <row r="5" ht="6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</sheetData>
  <autoFilter ref="A4:Q10004"/>
  <printOptions horizontalCentered="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6" customWidth="1" min="3" max="3"/>
    <col width="80" customWidth="1" min="4" max="4"/>
    <col width="14" customWidth="1" min="5" max="5"/>
    <col width="20" customWidth="1" min="6" max="6"/>
    <col width="90" customWidth="1" min="7" max="7"/>
  </cols>
  <sheetData>
    <row r="1">
      <c r="A1" s="4" t="inlineStr">
        <is>
          <t>Template version</t>
        </is>
      </c>
      <c r="B1" s="4" t="n">
        <v>2</v>
      </c>
      <c r="C1" s="4" t="n"/>
      <c r="D1" s="4" t="n"/>
      <c r="E1" s="4" t="n"/>
      <c r="F1" s="4" t="n"/>
      <c r="G1" s="4" t="n"/>
    </row>
    <row r="2">
      <c r="A2" s="2" t="inlineStr">
        <is>
          <t>Metric definitions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3" t="inlineStr">
        <is>
          <t>Metric ID</t>
        </is>
      </c>
      <c r="B4" s="3" t="inlineStr">
        <is>
          <t>Label</t>
        </is>
      </c>
      <c r="C4" s="3" t="inlineStr">
        <is>
          <t>Formula / definition</t>
        </is>
      </c>
      <c r="D4" s="3" t="inlineStr">
        <is>
          <t>Required fields</t>
        </is>
      </c>
      <c r="E4" s="3" t="inlineStr">
        <is>
          <t>Unit</t>
        </is>
      </c>
      <c r="F4" s="3" t="inlineStr">
        <is>
          <t>Implementation</t>
        </is>
      </c>
      <c r="G4" s="3" t="inlineStr">
        <is>
          <t>Limitations</t>
        </is>
      </c>
    </row>
    <row r="5" ht="72" customHeight="1">
      <c r="A5" s="4" t="inlineStr">
        <is>
          <t>revenue_growth_yoy</t>
        </is>
      </c>
      <c r="B5" s="4" t="inlineStr">
        <is>
          <t>Revenue growth YoY</t>
        </is>
      </c>
      <c r="C5" s="4" t="inlineStr">
        <is>
          <t>Revenue FY / Revenue FY-1 - 1</t>
        </is>
      </c>
      <c r="D5" s="4" t="inlineStr">
        <is>
          <t>revenue:previous, revenue:latest</t>
        </is>
      </c>
      <c r="E5" s="4" t="inlineStr">
        <is>
          <t>%</t>
        </is>
      </c>
      <c r="F5" s="4" t="inlineStr">
        <is>
          <t>implemented</t>
        </is>
      </c>
      <c r="G5" s="4" t="inlineStr">
        <is>
          <t>Consecutive comparable fiscal years; nonzero prior revenue.</t>
        </is>
      </c>
    </row>
    <row r="6" ht="72" customHeight="1">
      <c r="A6" s="4" t="inlineStr">
        <is>
          <t>ebitda_margin</t>
        </is>
      </c>
      <c r="B6" s="4" t="inlineStr">
        <is>
          <t>EBITDA margin</t>
        </is>
      </c>
      <c r="C6" s="4" t="inlineStr">
        <is>
          <t>EBITDA / Revenue</t>
        </is>
      </c>
      <c r="D6" s="4" t="inlineStr">
        <is>
          <t>ebitda:latest, revenue:latest</t>
        </is>
      </c>
      <c r="E6" s="4" t="inlineStr">
        <is>
          <t>%</t>
        </is>
      </c>
      <c r="F6" s="4" t="inlineStr">
        <is>
          <t>implemented</t>
        </is>
      </c>
      <c r="G6" s="4" t="inlineStr">
        <is>
          <t>Same FY, scope and currency; nonzero revenue.</t>
        </is>
      </c>
    </row>
    <row r="7" ht="72" customHeight="1">
      <c r="A7" s="4" t="inlineStr">
        <is>
          <t>net_debt</t>
        </is>
      </c>
      <c r="B7" s="4" t="inlineStr">
        <is>
          <t>Net debt</t>
        </is>
      </c>
      <c r="C7" s="4" t="inlineStr">
        <is>
          <t>Total debt - Cash and equivalents</t>
        </is>
      </c>
      <c r="D7" s="4" t="inlineStr">
        <is>
          <t>total_debt:latest, cash_and_equivalents:latest</t>
        </is>
      </c>
      <c r="E7" s="4" t="inlineStr">
        <is>
          <t>currency</t>
        </is>
      </c>
      <c r="F7" s="4" t="inlineStr">
        <is>
          <t>implemented</t>
        </is>
      </c>
      <c r="G7" s="4" t="inlineStr">
        <is>
          <t>Both balances at the same fiscal year end; negative net debt is allowed.</t>
        </is>
      </c>
    </row>
    <row r="8" ht="72" customHeight="1">
      <c r="A8" s="4" t="inlineStr">
        <is>
          <t>net_debt_to_ebitda</t>
        </is>
      </c>
      <c r="B8" s="4" t="inlineStr">
        <is>
          <t>Net debt / EBITDA</t>
        </is>
      </c>
      <c r="C8" s="4" t="inlineStr">
        <is>
          <t>Net debt / EBITDA</t>
        </is>
      </c>
      <c r="D8" s="4" t="inlineStr">
        <is>
          <t>total_debt:latest, cash_and_equivalents:latest, ebitda:latest</t>
        </is>
      </c>
      <c r="E8" s="4" t="inlineStr">
        <is>
          <t>x</t>
        </is>
      </c>
      <c r="F8" s="4" t="inlineStr">
        <is>
          <t>implemented</t>
        </is>
      </c>
      <c r="G8" s="4" t="inlineStr">
        <is>
          <t>Positive annual EBITDA required.</t>
        </is>
      </c>
    </row>
    <row r="9" ht="72" customHeight="1">
      <c r="A9" s="4" t="inlineStr">
        <is>
          <t>arr</t>
        </is>
      </c>
      <c r="B9" s="4" t="inlineStr">
        <is>
          <t>ARR</t>
        </is>
      </c>
      <c r="C9" s="4" t="inlineStr">
        <is>
          <t>Explicit fiscal-year-end MRR x 12</t>
        </is>
      </c>
      <c r="D9" s="4" t="inlineStr">
        <is>
          <t>monthly_recurring_revenue:latest</t>
        </is>
      </c>
      <c r="E9" s="4" t="inlineStr">
        <is>
          <t>currency</t>
        </is>
      </c>
      <c r="F9" s="4" t="inlineStr">
        <is>
          <t>implemented</t>
        </is>
      </c>
      <c r="G9" s="4" t="inlineStr">
        <is>
          <t>Annualized recurring run rate, not recognized annual revenue. Input MRR explicitly excludes nonrecurring revenue.</t>
        </is>
      </c>
    </row>
    <row r="10" ht="72" customHeight="1">
      <c r="A10" s="4" t="inlineStr">
        <is>
          <t>wacc</t>
        </is>
      </c>
      <c r="B10" s="4" t="inlineStr">
        <is>
          <t>WACC</t>
        </is>
      </c>
      <c r="C10" s="4" t="inlineStr">
        <is>
          <t>E/(E+D)*(Rf+beta*ERP) + D/(E+D)*Kd*(1-tax)</t>
        </is>
      </c>
      <c r="D10" s="4" t="inlineStr">
        <is>
          <t>market_cap:latest, market_value_debt:latest, pre_tax_cost_of_debt:latest, risk_free_rate:latest, equity_beta:latest, equity_risk_premium:latest, marginal_tax_rate:latest</t>
        </is>
      </c>
      <c r="E10" s="4" t="inlineStr">
        <is>
          <t>%</t>
        </is>
      </c>
      <c r="F10" s="4" t="inlineStr">
        <is>
          <t>implemented</t>
        </is>
      </c>
      <c r="G10" s="4" t="inlineStr">
        <is>
          <t>Two-component CAPM model; explicit market equity/debt at FY end. Rates are decimal fractions; no book-debt substitution or inferred assumptions.</t>
        </is>
      </c>
    </row>
    <row r="11" ht="72" customHeight="1">
      <c r="A11" s="4" t="inlineStr">
        <is>
          <t>gross_margin</t>
        </is>
      </c>
      <c r="B11" s="4" t="inlineStr">
        <is>
          <t>Gross margin</t>
        </is>
      </c>
      <c r="C11" s="4" t="inlineStr">
        <is>
          <t>gross_profit / Revenue</t>
        </is>
      </c>
      <c r="D11" s="4" t="inlineStr">
        <is>
          <t>gross_profit:latest, revenue:latest</t>
        </is>
      </c>
      <c r="E11" s="4" t="inlineStr">
        <is>
          <t>%</t>
        </is>
      </c>
      <c r="F11" s="4" t="inlineStr">
        <is>
          <t>implemented</t>
        </is>
      </c>
      <c r="G11" s="4" t="inlineStr">
        <is>
          <t>Reported numerator and positive annual revenue; no inferred numerator.</t>
        </is>
      </c>
    </row>
    <row r="12" ht="72" customHeight="1">
      <c r="A12" s="4" t="inlineStr">
        <is>
          <t>ebit_margin</t>
        </is>
      </c>
      <c r="B12" s="4" t="inlineStr">
        <is>
          <t>EBIT margin</t>
        </is>
      </c>
      <c r="C12" s="4" t="inlineStr">
        <is>
          <t>ebit / Revenue</t>
        </is>
      </c>
      <c r="D12" s="4" t="inlineStr">
        <is>
          <t>ebit:latest, revenue:latest</t>
        </is>
      </c>
      <c r="E12" s="4" t="inlineStr">
        <is>
          <t>%</t>
        </is>
      </c>
      <c r="F12" s="4" t="inlineStr">
        <is>
          <t>implemented</t>
        </is>
      </c>
      <c r="G12" s="4" t="inlineStr">
        <is>
          <t>Reported numerator and positive annual revenue; no inferred numerator.</t>
        </is>
      </c>
    </row>
    <row r="13" ht="72" customHeight="1">
      <c r="A13" s="4" t="inlineStr">
        <is>
          <t>net_profit_margin</t>
        </is>
      </c>
      <c r="B13" s="4" t="inlineStr">
        <is>
          <t>Net profit margin</t>
        </is>
      </c>
      <c r="C13" s="4" t="inlineStr">
        <is>
          <t>net_income / Revenue</t>
        </is>
      </c>
      <c r="D13" s="4" t="inlineStr">
        <is>
          <t>net_income:latest, revenue:latest</t>
        </is>
      </c>
      <c r="E13" s="4" t="inlineStr">
        <is>
          <t>%</t>
        </is>
      </c>
      <c r="F13" s="4" t="inlineStr">
        <is>
          <t>implemented</t>
        </is>
      </c>
      <c r="G13" s="4" t="inlineStr">
        <is>
          <t>Reported numerator and positive annual revenue; no inferred numerator.</t>
        </is>
      </c>
    </row>
    <row r="14" ht="72" customHeight="1">
      <c r="A14" s="4" t="inlineStr">
        <is>
          <t>free_cash_flow</t>
        </is>
      </c>
      <c r="B14" s="4" t="inlineStr">
        <is>
          <t>Free cash flow</t>
        </is>
      </c>
      <c r="C14" s="4" t="inlineStr">
        <is>
          <t>Operating cash flow - positive capex spending</t>
        </is>
      </c>
      <c r="D14" s="4" t="inlineStr">
        <is>
          <t>cash_flow_from_operations:latest, capex:latest</t>
        </is>
      </c>
      <c r="E14" s="4" t="inlineStr">
        <is>
          <t>currency</t>
        </is>
      </c>
      <c r="F14" s="4" t="inlineStr">
        <is>
          <t>implemented</t>
        </is>
      </c>
      <c r="G14" s="4" t="inlineStr">
        <is>
          <t>CFO less capex spending; this is not FCFF or FCFE.</t>
        </is>
      </c>
    </row>
    <row r="15" ht="72" customHeight="1">
      <c r="A15" s="4" t="inlineStr">
        <is>
          <t>fcf_margin</t>
        </is>
      </c>
      <c r="B15" s="4" t="inlineStr">
        <is>
          <t>FCF margin</t>
        </is>
      </c>
      <c r="C15" s="4" t="inlineStr">
        <is>
          <t>Free cash flow / Revenue</t>
        </is>
      </c>
      <c r="D15" s="4" t="inlineStr">
        <is>
          <t>cash_flow_from_operations:latest, capex:latest, revenue:latest</t>
        </is>
      </c>
      <c r="E15" s="4" t="inlineStr">
        <is>
          <t>%</t>
        </is>
      </c>
      <c r="F15" s="4" t="inlineStr">
        <is>
          <t>implemented</t>
        </is>
      </c>
      <c r="G15" s="4" t="inlineStr">
        <is>
          <t>Same FY and CFO-minus-capex convention.</t>
        </is>
      </c>
    </row>
    <row r="16" ht="72" customHeight="1">
      <c r="A16" s="4" t="inlineStr">
        <is>
          <t>current_ratio</t>
        </is>
      </c>
      <c r="B16" s="4" t="inlineStr">
        <is>
          <t>Current ratio</t>
        </is>
      </c>
      <c r="C16" s="4" t="inlineStr">
        <is>
          <t>Current assets / Current liabilities</t>
        </is>
      </c>
      <c r="D16" s="4" t="inlineStr">
        <is>
          <t>current_assets:latest, current_liabilities:latest</t>
        </is>
      </c>
      <c r="E16" s="4" t="inlineStr">
        <is>
          <t>x</t>
        </is>
      </c>
      <c r="F16" s="4" t="inlineStr">
        <is>
          <t>implemented</t>
        </is>
      </c>
      <c r="G16" s="4" t="inlineStr">
        <is>
          <t>FY-end balances; current liabilities must be positive.</t>
        </is>
      </c>
    </row>
    <row r="17" ht="72" customHeight="1">
      <c r="A17" s="4" t="inlineStr">
        <is>
          <t>quick_ratio</t>
        </is>
      </c>
      <c r="B17" s="4" t="inlineStr">
        <is>
          <t>Quick ratio</t>
        </is>
      </c>
      <c r="C17" s="4" t="inlineStr">
        <is>
          <t>(Current assets - Inventory) / Current liabilities</t>
        </is>
      </c>
      <c r="D17" s="4" t="inlineStr">
        <is>
          <t>current_assets:latest, inventory:latest, current_liabilities:latest</t>
        </is>
      </c>
      <c r="E17" s="4" t="inlineStr">
        <is>
          <t>x</t>
        </is>
      </c>
      <c r="F17" s="4" t="inlineStr">
        <is>
          <t>implemented</t>
        </is>
      </c>
      <c r="G17" s="4" t="inlineStr">
        <is>
          <t>Inventory-only exclusion convention; other illiquid current assets are not separately removed.</t>
        </is>
      </c>
    </row>
    <row r="18" ht="72" customHeight="1">
      <c r="A18" s="4" t="inlineStr">
        <is>
          <t>interest_coverage</t>
        </is>
      </c>
      <c r="B18" s="4" t="inlineStr">
        <is>
          <t>Interest coverage</t>
        </is>
      </c>
      <c r="C18" s="4" t="inlineStr">
        <is>
          <t>EBIT / Interest expense</t>
        </is>
      </c>
      <c r="D18" s="4" t="inlineStr">
        <is>
          <t>ebit:latest, interest_expense:latest</t>
        </is>
      </c>
      <c r="E18" s="4" t="inlineStr">
        <is>
          <t>x</t>
        </is>
      </c>
      <c r="F18" s="4" t="inlineStr">
        <is>
          <t>implemented</t>
        </is>
      </c>
      <c r="G18" s="4" t="inlineStr">
        <is>
          <t>Positive interest expense; negative EBIT remains a negative coverage result.</t>
        </is>
      </c>
    </row>
    <row r="19" ht="72" customHeight="1">
      <c r="A19" s="4" t="inlineStr">
        <is>
          <t>roa</t>
        </is>
      </c>
      <c r="B19" s="4" t="inlineStr">
        <is>
          <t>Return on assets</t>
        </is>
      </c>
      <c r="C19" s="4" t="inlineStr">
        <is>
          <t>Net income / Average opening and closing total_assets</t>
        </is>
      </c>
      <c r="D19" s="4" t="inlineStr">
        <is>
          <t>net_income:latest, total_assets:previous, total_assets:latest</t>
        </is>
      </c>
      <c r="E19" s="4" t="inlineStr">
        <is>
          <t>%</t>
        </is>
      </c>
      <c r="F19" s="4" t="inlineStr">
        <is>
          <t>implemented</t>
        </is>
      </c>
      <c r="G19" s="4" t="inlineStr">
        <is>
          <t>Uses FY-1 and FY-end balances. Negative balance bases are excluded; average denominator must be positive.</t>
        </is>
      </c>
    </row>
    <row r="20" ht="72" customHeight="1">
      <c r="A20" s="4" t="inlineStr">
        <is>
          <t>roe</t>
        </is>
      </c>
      <c r="B20" s="4" t="inlineStr">
        <is>
          <t>Return on equity</t>
        </is>
      </c>
      <c r="C20" s="4" t="inlineStr">
        <is>
          <t>Net income / Average opening and closing total_equity</t>
        </is>
      </c>
      <c r="D20" s="4" t="inlineStr">
        <is>
          <t>net_income:latest, total_equity:previous, total_equity:latest</t>
        </is>
      </c>
      <c r="E20" s="4" t="inlineStr">
        <is>
          <t>%</t>
        </is>
      </c>
      <c r="F20" s="4" t="inlineStr">
        <is>
          <t>implemented</t>
        </is>
      </c>
      <c r="G20" s="4" t="inlineStr">
        <is>
          <t>Uses FY-1 and FY-end balances. Negative balance bases are excluded; average denominator must be positive.</t>
        </is>
      </c>
    </row>
    <row r="21" ht="72" customHeight="1">
      <c r="A21" s="4" t="inlineStr">
        <is>
          <t>enterprise_value</t>
        </is>
      </c>
      <c r="B21" s="4" t="inlineStr">
        <is>
          <t>Enterprise value (simplified)</t>
        </is>
      </c>
      <c r="C21" s="4" t="inlineStr">
        <is>
          <t>Market capitalization + reported debt - Cash</t>
        </is>
      </c>
      <c r="D21" s="4" t="inlineStr">
        <is>
          <t>market_cap:latest, total_debt:latest, cash_and_equivalents:latest</t>
        </is>
      </c>
      <c r="E21" s="4" t="inlineStr">
        <is>
          <t>currency</t>
        </is>
      </c>
      <c r="F21" s="4" t="inlineStr">
        <is>
          <t>implemented</t>
        </is>
      </c>
      <c r="G21" s="4" t="inlineStr">
        <is>
          <t>Reported debt is a proxy here. Excludes preferred stock and noncontrolling interests; market cap and balances must be at FY end.</t>
        </is>
      </c>
    </row>
    <row r="22" ht="72" customHeight="1">
      <c r="A22" s="4" t="inlineStr">
        <is>
          <t>ev_to_revenue</t>
        </is>
      </c>
      <c r="B22" s="4" t="inlineStr">
        <is>
          <t>EV / Revenue</t>
        </is>
      </c>
      <c r="C22" s="4" t="inlineStr">
        <is>
          <t>Simplified enterprise value / Annual revenue</t>
        </is>
      </c>
      <c r="D22" s="4" t="inlineStr">
        <is>
          <t>market_cap:latest, total_debt:latest, cash_and_equivalents:latest, revenue:latest</t>
        </is>
      </c>
      <c r="E22" s="4" t="inlineStr">
        <is>
          <t>x</t>
        </is>
      </c>
      <c r="F22" s="4" t="inlineStr">
        <is>
          <t>implemented</t>
        </is>
      </c>
      <c r="G22" s="4" t="inlineStr">
        <is>
          <t>Inherits simplified EV convention; denominator must be positive.</t>
        </is>
      </c>
    </row>
    <row r="23" ht="72" customHeight="1">
      <c r="A23" s="4" t="inlineStr">
        <is>
          <t>ev_to_ebitda</t>
        </is>
      </c>
      <c r="B23" s="4" t="inlineStr">
        <is>
          <t>EV / EBITDA</t>
        </is>
      </c>
      <c r="C23" s="4" t="inlineStr">
        <is>
          <t>Simplified enterprise value / Annual ebitda</t>
        </is>
      </c>
      <c r="D23" s="4" t="inlineStr">
        <is>
          <t>market_cap:latest, total_debt:latest, cash_and_equivalents:latest, ebitda:latest</t>
        </is>
      </c>
      <c r="E23" s="4" t="inlineStr">
        <is>
          <t>x</t>
        </is>
      </c>
      <c r="F23" s="4" t="inlineStr">
        <is>
          <t>implemented</t>
        </is>
      </c>
      <c r="G23" s="4" t="inlineStr">
        <is>
          <t>Inherits simplified EV convention; denominator must be positive.</t>
        </is>
      </c>
    </row>
    <row r="24" ht="72" customHeight="1">
      <c r="A24" s="4" t="inlineStr">
        <is>
          <t>price_to_earnings</t>
        </is>
      </c>
      <c r="B24" s="4" t="inlineStr">
        <is>
          <t>P/E</t>
        </is>
      </c>
      <c r="C24" s="4" t="inlineStr">
        <is>
          <t>Market capitalization / Annual net income</t>
        </is>
      </c>
      <c r="D24" s="4" t="inlineStr">
        <is>
          <t>market_cap:latest, net_income:latest</t>
        </is>
      </c>
      <c r="E24" s="4" t="inlineStr">
        <is>
          <t>x</t>
        </is>
      </c>
      <c r="F24" s="4" t="inlineStr">
        <is>
          <t>implemented</t>
        </is>
      </c>
      <c r="G24" s="4" t="inlineStr">
        <is>
          <t>Loss-making and zero-profit periods have no meaningful P/E.</t>
        </is>
      </c>
    </row>
    <row r="25" ht="72" customHeight="1">
      <c r="A25" s="4" t="inlineStr">
        <is>
          <t>revenue_cagr</t>
        </is>
      </c>
      <c r="B25" s="4" t="inlineStr">
        <is>
          <t>Revenue CAGR</t>
        </is>
      </c>
      <c r="C25" s="4" t="inlineStr">
        <is>
          <t>(revenue latest / revenue first)^(1 / elapsed fiscal years) - 1</t>
        </is>
      </c>
      <c r="D25" s="4" t="inlineStr">
        <is>
          <t>revenue:start, revenue:latest</t>
        </is>
      </c>
      <c r="E25" s="4" t="inlineStr">
        <is>
          <t>%</t>
        </is>
      </c>
      <c r="F25" s="4" t="inlineStr">
        <is>
          <t>implemented</t>
        </is>
      </c>
      <c r="G25" s="4" t="inlineStr">
        <is>
          <t>First and last presented FY, not count of rows; positive start and nonnegative end. Missing/invalid endpoints are not skipped.</t>
        </is>
      </c>
    </row>
    <row r="26" ht="72" customHeight="1">
      <c r="A26" s="4" t="inlineStr">
        <is>
          <t>ebitda_cagr</t>
        </is>
      </c>
      <c r="B26" s="4" t="inlineStr">
        <is>
          <t>EBITDA CAGR</t>
        </is>
      </c>
      <c r="C26" s="4" t="inlineStr">
        <is>
          <t>(ebitda latest / ebitda first)^(1 / elapsed fiscal years) - 1</t>
        </is>
      </c>
      <c r="D26" s="4" t="inlineStr">
        <is>
          <t>ebitda:start, ebitda:latest</t>
        </is>
      </c>
      <c r="E26" s="4" t="inlineStr">
        <is>
          <t>%</t>
        </is>
      </c>
      <c r="F26" s="4" t="inlineStr">
        <is>
          <t>implemented</t>
        </is>
      </c>
      <c r="G26" s="4" t="inlineStr">
        <is>
          <t>First and last presented FY, not count of rows; positive start and nonnegative end. Missing/invalid endpoints are not skipped.</t>
        </is>
      </c>
    </row>
    <row r="27" ht="72" customHeight="1">
      <c r="A27" s="4" t="inlineStr">
        <is>
          <t>net_leverage_trend</t>
        </is>
      </c>
      <c r="B27" s="4" t="inlineStr">
        <is>
          <t>Net leverage change YoY</t>
        </is>
      </c>
      <c r="C27" s="4" t="inlineStr">
        <is>
          <t>Latest net debt / EBITDA - Previous FY net debt / EBITDA</t>
        </is>
      </c>
      <c r="D27" s="4" t="inlineStr">
        <is>
          <t>total_debt:previous, total_debt:latest, cash_and_equivalents:previous, cash_and_equivalents:latest, ebitda:previous, ebitda:latest</t>
        </is>
      </c>
      <c r="E27" s="4" t="inlineStr">
        <is>
          <t>x</t>
        </is>
      </c>
      <c r="F27" s="4" t="inlineStr">
        <is>
          <t>implemented</t>
        </is>
      </c>
      <c r="G27" s="4" t="inlineStr">
        <is>
          <t>Change in turns, not percent; positive means increased leverage. Compares consecutive FYs.</t>
        </is>
      </c>
    </row>
    <row r="28" ht="72" customHeight="1">
      <c r="A28" s="4" t="inlineStr">
        <is>
          <t>cash_conversion</t>
        </is>
      </c>
      <c r="B28" s="4" t="inlineStr">
        <is>
          <t>Cash conversion (CFO / EBITDA)</t>
        </is>
      </c>
      <c r="C28" s="4" t="inlineStr">
        <is>
          <t>Operating cash flow / EBITDA</t>
        </is>
      </c>
      <c r="D28" s="4" t="inlineStr">
        <is>
          <t>cash_flow_from_operations:latest, ebitda:latest</t>
        </is>
      </c>
      <c r="E28" s="4" t="inlineStr">
        <is>
          <t>%</t>
        </is>
      </c>
      <c r="F28" s="4" t="inlineStr">
        <is>
          <t>implemented</t>
        </is>
      </c>
      <c r="G28" s="4" t="inlineStr">
        <is>
          <t>Chosen cash conversion definition is CFO/EBITDA; excludes capex. A negative CFO gives negative conversion.</t>
        </is>
      </c>
    </row>
    <row r="29" ht="72" customHeight="1">
      <c r="A29" s="4" t="inlineStr">
        <is>
          <t>dso</t>
        </is>
      </c>
      <c r="B29" s="4" t="inlineStr">
        <is>
          <t>Days sales outstanding</t>
        </is>
      </c>
      <c r="C29" s="4" t="inlineStr">
        <is>
          <t>Average accounts_receivable / Annual revenue x 365</t>
        </is>
      </c>
      <c r="D29" s="4" t="inlineStr">
        <is>
          <t>accounts_receivable:previous, accounts_receivable:latest, revenue:latest</t>
        </is>
      </c>
      <c r="E29" s="4" t="inlineStr">
        <is>
          <t>days</t>
        </is>
      </c>
      <c r="F29" s="4" t="inlineStr">
        <is>
          <t>implemented</t>
        </is>
      </c>
      <c r="G29" s="4" t="inlineStr">
        <is>
          <t>365-day convention and opening/closing average. Revenue proxies credit sales for DSO; COGS proxies credit purchases for DPO; seasonal businesses may need finer data.</t>
        </is>
      </c>
    </row>
    <row r="30" ht="72" customHeight="1">
      <c r="A30" s="4" t="inlineStr">
        <is>
          <t>dio</t>
        </is>
      </c>
      <c r="B30" s="4" t="inlineStr">
        <is>
          <t>Days inventory outstanding</t>
        </is>
      </c>
      <c r="C30" s="4" t="inlineStr">
        <is>
          <t>Average inventory / Annual cogs x 365</t>
        </is>
      </c>
      <c r="D30" s="4" t="inlineStr">
        <is>
          <t>inventory:previous, inventory:latest, cogs:latest</t>
        </is>
      </c>
      <c r="E30" s="4" t="inlineStr">
        <is>
          <t>days</t>
        </is>
      </c>
      <c r="F30" s="4" t="inlineStr">
        <is>
          <t>implemented</t>
        </is>
      </c>
      <c r="G30" s="4" t="inlineStr">
        <is>
          <t>365-day convention and opening/closing average. Revenue proxies credit sales for DSO; COGS proxies credit purchases for DPO; seasonal businesses may need finer data.</t>
        </is>
      </c>
    </row>
    <row r="31" ht="72" customHeight="1">
      <c r="A31" s="4" t="inlineStr">
        <is>
          <t>dpo</t>
        </is>
      </c>
      <c r="B31" s="4" t="inlineStr">
        <is>
          <t>Days payable outstanding</t>
        </is>
      </c>
      <c r="C31" s="4" t="inlineStr">
        <is>
          <t>Average accounts_payable / Annual cogs x 365</t>
        </is>
      </c>
      <c r="D31" s="4" t="inlineStr">
        <is>
          <t>accounts_payable:previous, accounts_payable:latest, cogs:latest</t>
        </is>
      </c>
      <c r="E31" s="4" t="inlineStr">
        <is>
          <t>days</t>
        </is>
      </c>
      <c r="F31" s="4" t="inlineStr">
        <is>
          <t>implemented</t>
        </is>
      </c>
      <c r="G31" s="4" t="inlineStr">
        <is>
          <t>365-day convention and opening/closing average. Revenue proxies credit sales for DSO; COGS proxies credit purchases for DPO; seasonal businesses may need finer data.</t>
        </is>
      </c>
    </row>
    <row r="32" ht="72" customHeight="1">
      <c r="A32" s="4" t="inlineStr">
        <is>
          <t>cash_conversion_cycle</t>
        </is>
      </c>
      <c r="B32" s="4" t="inlineStr">
        <is>
          <t>Cash conversion cycle (CCC)</t>
        </is>
      </c>
      <c r="C32" s="4" t="inlineStr">
        <is>
          <t>DSO + DIO - DPO</t>
        </is>
      </c>
      <c r="D32" s="4" t="inlineStr">
        <is>
          <t>accounts_receivable:previous, accounts_receivable:latest, revenue:latest, inventory:previous, inventory:latest, cogs:latest, accounts_payable:previous, accounts_payable:latest</t>
        </is>
      </c>
      <c r="E32" s="4" t="inlineStr">
        <is>
          <t>days</t>
        </is>
      </c>
      <c r="F32" s="4" t="inlineStr">
        <is>
          <t>implemented</t>
        </is>
      </c>
      <c r="G32" s="4" t="inlineStr">
        <is>
          <t>Inherits DSO/DIO/DPO conventions. Negative CCC is valid. This is a duration, separate from CFO/EBITDA.</t>
        </is>
      </c>
    </row>
  </sheetData>
  <autoFilter ref="A4:G32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2026-10-15T02:48:16Z</dcterms:created>
  <dcterms:modified xsi:type="dcterms:W3CDTF">2026-10-15T02:48:16Z</dcterms:modified>
</cp:coreProperties>
</file>